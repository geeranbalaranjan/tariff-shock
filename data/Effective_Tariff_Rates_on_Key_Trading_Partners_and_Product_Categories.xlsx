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11_8770D0563FBE05FF6C54BD60DD54F19DB2C5BD74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Table of Contents" sheetId="1" r:id="rId1"/>
    <sheet name="Fig1" sheetId="2" r:id="rId2"/>
    <sheet name="Fig2.1" sheetId="3" r:id="rId3"/>
    <sheet name="Fig2.2" sheetId="4" r:id="rId4"/>
    <sheet name="Fig3" sheetId="5" r:id="rId5"/>
    <sheet name="Fig4" sheetId="6" r:id="rId6"/>
  </sheets>
  <calcPr calcId="0" refMode="R1C1" iterateCount="0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B10" i="1"/>
  <c r="B9" i="1"/>
  <c r="B8" i="1"/>
  <c r="B7" i="1"/>
</calcChain>
</file>

<file path=xl/sharedStrings.xml><?xml version="1.0" encoding="utf-8"?>
<sst xmlns="http://schemas.openxmlformats.org/spreadsheetml/2006/main" count="1546" uniqueCount="82">
  <si>
    <t>Effective Tariff Rates and Revenues</t>
  </si>
  <si>
    <t/>
  </si>
  <si>
    <t>Published on:</t>
  </si>
  <si>
    <t>February 03, 2026</t>
  </si>
  <si>
    <t>Penn Wharton Budget Model</t>
  </si>
  <si>
    <t>Contents</t>
  </si>
  <si>
    <t>Figure 1</t>
  </si>
  <si>
    <t>Figure 2.1</t>
  </si>
  <si>
    <t>Figure 2.2</t>
  </si>
  <si>
    <t>Figure 3</t>
  </si>
  <si>
    <t>Figure 4</t>
  </si>
  <si>
    <t>Period</t>
  </si>
  <si>
    <t>Pre-Substitution Rate (%)</t>
  </si>
  <si>
    <t>Average Effective Tariff Rate (%)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</si>
  <si>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</si>
  <si>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</si>
  <si>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</si>
  <si>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</si>
  <si>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</si>
  <si>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</si>
  <si>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</si>
  <si>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</si>
  <si>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</si>
  <si>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</si>
  <si>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</si>
  <si>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</si>
  <si>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</si>
  <si>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</si>
  <si>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</si>
  <si>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</si>
  <si>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</si>
  <si>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</si>
  <si>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</si>
  <si>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</si>
  <si>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</si>
  <si>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</si>
  <si>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</si>
  <si>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</si>
  <si>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</si>
  <si>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</si>
  <si>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</si>
  <si>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</si>
  <si>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</si>
  <si>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</si>
  <si>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</si>
  <si>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</si>
  <si>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</si>
  <si>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</si>
  <si>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</si>
  <si>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</si>
  <si>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</si>
  <si>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</si>
  <si>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</si>
  <si>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</si>
  <si>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</si>
  <si>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</si>
  <si>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</si>
  <si>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</si>
  <si>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</si>
  <si>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</si>
  <si>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</si>
  <si>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Country</t>
  </si>
  <si>
    <t>Effective Rate</t>
  </si>
  <si>
    <t>China</t>
  </si>
  <si>
    <t>Mexico</t>
  </si>
  <si>
    <t>Canada</t>
  </si>
  <si>
    <t>Ireland</t>
  </si>
  <si>
    <t>Switzerland</t>
  </si>
  <si>
    <t>Vietnam</t>
  </si>
  <si>
    <t>Overall Average</t>
  </si>
  <si>
    <t>Product Set</t>
  </si>
  <si>
    <t>Pharmaceuticals</t>
  </si>
  <si>
    <t>Steel and Aluminum</t>
  </si>
  <si>
    <t>Auto Parts</t>
  </si>
  <si>
    <t>Semiconductors</t>
  </si>
  <si>
    <t>Auto Vehicles</t>
  </si>
  <si>
    <t>Total Effect</t>
  </si>
  <si>
    <t>Effect Type</t>
  </si>
  <si>
    <t>Effect Value</t>
  </si>
  <si>
    <t>Mechanical Revenue Effect from Tariff Rate Increase</t>
  </si>
  <si>
    <t>Behavioral Revenue Effect from Shifts in Purchasing Patterns</t>
  </si>
  <si>
    <t>Share of Import Value Claiming Tariff Exemption Under USMCA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</si>
</sst>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  <scheme val="minor"/>
    </font>
    <font>
      <b/>
      <sz val="14"/>
      <color rgb="FF000000"/>
      <name val="Calibri"/>
    </font>
    <font>
      <b/>
      <sz val="11"/>
      <color rgb="FF000000"/>
      <name val="Calibri"/>
    </font>
    <font>
      <u/>
      <sz val="11"/>
      <color rgb="FF0000FF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ColWidth="11.42578125" defaultRowHeight="15"/>
  <cols>
    <col min="1" max="1" width="47" customWidth="1"/>
    <col min="2" max="2" width="17.7109375" customWidth="1"/>
  </cols>
  <sheetData>
    <row r="1" spans="1:2">
      <c r="A1" s="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1</v>
      </c>
    </row>
    <row r="4" spans="1:2">
      <c r="A4" t="s">
        <v>1</v>
      </c>
      <c r="B4" t="s">
        <v>1</v>
      </c>
    </row>
    <row r="5" spans="1:2">
      <c r="A5" t="s">
        <v>1</v>
      </c>
      <c r="B5" t="s">
        <v>1</v>
      </c>
    </row>
    <row r="6" spans="1:2">
      <c r="A6" s="2" t="s">
        <v>5</v>
      </c>
      <c r="B6" t="s">
        <v>1</v>
      </c>
    </row>
    <row r="7" spans="1:2">
      <c r="A7" t="s">
        <v>6</v>
      </c>
      <c r="B7" s="3" t="str">
        <f ca="1">HYPERLINK("#'Fig1'!A1", "Aggregate Tariff Rates")</f>
        <v/>
      </c>
    </row>
    <row r="8" spans="1:2">
      <c r="A8" t="s">
        <v>7</v>
      </c>
      <c r="B8" s="3" t="str">
        <f ca="1">HYPERLINK("#'Fig2.1'!A1", "Effective Tariff Rates by Major Trading Partner")</f>
        <v/>
      </c>
    </row>
    <row r="9" spans="1:2">
      <c r="A9" t="s">
        <v>8</v>
      </c>
      <c r="B9" s="3" t="str">
        <f ca="1">HYPERLINK("#'Fig2.2'!A1", "Effective Tariff Rates by Product Category")</f>
        <v/>
      </c>
    </row>
    <row r="10" spans="1:2">
      <c r="A10" t="s">
        <v>9</v>
      </c>
      <c r="B10" s="3" t="str">
        <f ca="1">HYPERLINK("#'Fig3'!A1", "Decomposition of Tariff Revenue Changes")</f>
        <v/>
      </c>
    </row>
    <row r="11" spans="1:2">
      <c r="A11" t="s">
        <v>10</v>
      </c>
      <c r="B11" s="3" t="str">
        <f ca="1">HYPERLINK("#'Fig4'!A1", "Monthly Share of Import Value Claiming Tariff Exemption Under USMCA")</f>
        <v/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workbookViewId="0"/>
  </sheetViews>
  <sheetFormatPr defaultColWidth="11.42578125" defaultRowHeight="15"/>
  <cols>
    <col min="1" max="1" width="8.7109375" customWidth="1"/>
    <col min="2" max="2" width="25.7109375" customWidth="1"/>
    <col min="3" max="3" width="33.7109375" customWidth="1"/>
  </cols>
  <sheetData>
    <row r="1" spans="1:3" ht="30" customHeight="1">
      <c r="A1" s="5" t="s">
        <v>11</v>
      </c>
      <c r="B1" s="5" t="s">
        <v>12</v>
      </c>
      <c r="C1" s="5" t="s">
        <v>13</v>
      </c>
    </row>
    <row r="2" spans="1:3">
      <c r="A2" s="4" t="s">
        <v>14</v>
      </c>
      <c r="B2">
        <v>3.2170153202206699</v>
      </c>
      <c r="C2">
        <v>3.2170153202206699</v>
      </c>
    </row>
    <row r="3" spans="1:3">
      <c r="A3" s="4" t="s">
        <v>15</v>
      </c>
      <c r="B3">
        <v>3.15047539962403</v>
      </c>
      <c r="C3">
        <v>3.15047539962403</v>
      </c>
    </row>
    <row r="4" spans="1:3">
      <c r="A4" s="4" t="s">
        <v>16</v>
      </c>
      <c r="B4">
        <v>2.86084347009308</v>
      </c>
      <c r="C4">
        <v>2.86084347009308</v>
      </c>
    </row>
    <row r="5" spans="1:3">
      <c r="A5" s="4" t="s">
        <v>17</v>
      </c>
      <c r="B5">
        <v>2.8933835667950198</v>
      </c>
      <c r="C5">
        <v>2.8933835667950198</v>
      </c>
    </row>
    <row r="6" spans="1:3">
      <c r="A6" s="4" t="s">
        <v>18</v>
      </c>
      <c r="B6">
        <v>2.8614159311701801</v>
      </c>
      <c r="C6">
        <v>2.8614159311701801</v>
      </c>
    </row>
    <row r="7" spans="1:3">
      <c r="A7" s="4" t="s">
        <v>19</v>
      </c>
      <c r="B7">
        <v>2.8335258204404301</v>
      </c>
      <c r="C7">
        <v>2.8335258204404301</v>
      </c>
    </row>
    <row r="8" spans="1:3">
      <c r="A8" s="4" t="s">
        <v>20</v>
      </c>
      <c r="B8">
        <v>3.0255070601213299</v>
      </c>
      <c r="C8">
        <v>3.0255070601213299</v>
      </c>
    </row>
    <row r="9" spans="1:3">
      <c r="A9" s="4" t="s">
        <v>21</v>
      </c>
      <c r="B9">
        <v>3.0753396395640999</v>
      </c>
      <c r="C9">
        <v>3.0753396395640999</v>
      </c>
    </row>
    <row r="10" spans="1:3">
      <c r="A10" s="4" t="s">
        <v>22</v>
      </c>
      <c r="B10">
        <v>2.84667821911802</v>
      </c>
      <c r="C10">
        <v>2.84667821911802</v>
      </c>
    </row>
    <row r="11" spans="1:3">
      <c r="A11" s="4" t="s">
        <v>23</v>
      </c>
      <c r="B11">
        <v>2.7041994071371498</v>
      </c>
      <c r="C11">
        <v>2.7041994071371498</v>
      </c>
    </row>
    <row r="12" spans="1:3">
      <c r="A12" s="4" t="s">
        <v>24</v>
      </c>
      <c r="B12">
        <v>2.5704352621015301</v>
      </c>
      <c r="C12">
        <v>2.5704352621015301</v>
      </c>
    </row>
    <row r="13" spans="1:3">
      <c r="A13" s="4" t="s">
        <v>25</v>
      </c>
      <c r="B13">
        <v>2.5914748812869401</v>
      </c>
      <c r="C13">
        <v>2.5914748812869401</v>
      </c>
    </row>
    <row r="14" spans="1:3">
      <c r="A14" s="4" t="s">
        <v>26</v>
      </c>
      <c r="B14">
        <v>2.6605735867607598</v>
      </c>
      <c r="C14">
        <v>2.6605735867607598</v>
      </c>
    </row>
    <row r="15" spans="1:3">
      <c r="A15" s="4" t="s">
        <v>27</v>
      </c>
      <c r="B15">
        <v>2.5613124377946899</v>
      </c>
      <c r="C15">
        <v>2.5613124377946899</v>
      </c>
    </row>
    <row r="16" spans="1:3">
      <c r="A16" s="4" t="s">
        <v>28</v>
      </c>
      <c r="B16">
        <v>2.2443395701569901</v>
      </c>
      <c r="C16">
        <v>2.2443395701569901</v>
      </c>
    </row>
    <row r="17" spans="1:3">
      <c r="A17" s="4" t="s">
        <v>29</v>
      </c>
      <c r="B17">
        <v>2.4796205679699499</v>
      </c>
      <c r="C17">
        <v>2.4796205679699499</v>
      </c>
    </row>
    <row r="18" spans="1:3">
      <c r="A18" s="4" t="s">
        <v>30</v>
      </c>
      <c r="B18">
        <v>2.4759551252015499</v>
      </c>
      <c r="C18">
        <v>2.4759551252015499</v>
      </c>
    </row>
    <row r="19" spans="1:3">
      <c r="A19" s="4" t="s">
        <v>31</v>
      </c>
      <c r="B19">
        <v>2.4404407067149401</v>
      </c>
      <c r="C19">
        <v>2.4404407067149401</v>
      </c>
    </row>
    <row r="20" spans="1:3">
      <c r="A20" s="4" t="s">
        <v>32</v>
      </c>
      <c r="B20">
        <v>2.55791575013949</v>
      </c>
      <c r="C20">
        <v>2.55791575013949</v>
      </c>
    </row>
    <row r="21" spans="1:3">
      <c r="A21" s="4" t="s">
        <v>33</v>
      </c>
      <c r="B21">
        <v>2.47609126206574</v>
      </c>
      <c r="C21">
        <v>2.47609126206574</v>
      </c>
    </row>
    <row r="22" spans="1:3">
      <c r="A22" s="4" t="s">
        <v>34</v>
      </c>
      <c r="B22">
        <v>2.4477459304869398</v>
      </c>
      <c r="C22">
        <v>2.4477459304869398</v>
      </c>
    </row>
    <row r="23" spans="1:3">
      <c r="A23" s="4" t="s">
        <v>35</v>
      </c>
      <c r="B23">
        <v>2.3521737437508698</v>
      </c>
      <c r="C23">
        <v>2.3521737437508698</v>
      </c>
    </row>
    <row r="24" spans="1:3">
      <c r="A24" s="4" t="s">
        <v>36</v>
      </c>
      <c r="B24">
        <v>2.2595879925496201</v>
      </c>
      <c r="C24">
        <v>2.2595879925496201</v>
      </c>
    </row>
    <row r="25" spans="1:3">
      <c r="A25" s="4" t="s">
        <v>37</v>
      </c>
      <c r="B25">
        <v>2.4286690779104299</v>
      </c>
      <c r="C25">
        <v>2.4286690779104299</v>
      </c>
    </row>
    <row r="26" spans="1:3">
      <c r="A26" s="4" t="s">
        <v>38</v>
      </c>
      <c r="B26">
        <v>2.5682715587231799</v>
      </c>
      <c r="C26">
        <v>2.5682715587231799</v>
      </c>
    </row>
    <row r="27" spans="1:3">
      <c r="A27" s="4" t="s">
        <v>39</v>
      </c>
      <c r="B27">
        <v>2.5238318453822002</v>
      </c>
      <c r="C27">
        <v>2.5238318453822002</v>
      </c>
    </row>
    <row r="28" spans="1:3">
      <c r="A28" s="4" t="s">
        <v>40</v>
      </c>
      <c r="B28">
        <v>2.2947842241791498</v>
      </c>
      <c r="C28">
        <v>2.2947842241791498</v>
      </c>
    </row>
    <row r="29" spans="1:3">
      <c r="A29" s="4" t="s">
        <v>41</v>
      </c>
      <c r="B29">
        <v>2.2531043578762802</v>
      </c>
      <c r="C29">
        <v>2.2531043578762802</v>
      </c>
    </row>
    <row r="30" spans="1:3">
      <c r="A30" s="4" t="s">
        <v>42</v>
      </c>
      <c r="B30">
        <v>2.3180340156733799</v>
      </c>
      <c r="C30">
        <v>2.3180340156733799</v>
      </c>
    </row>
    <row r="31" spans="1:3">
      <c r="A31" s="4" t="s">
        <v>43</v>
      </c>
      <c r="B31">
        <v>2.4138491615675299</v>
      </c>
      <c r="C31">
        <v>2.4138491615675299</v>
      </c>
    </row>
    <row r="32" spans="1:3">
      <c r="A32" s="4" t="s">
        <v>44</v>
      </c>
      <c r="B32">
        <v>2.56655781506575</v>
      </c>
      <c r="C32">
        <v>2.56655781506575</v>
      </c>
    </row>
    <row r="33" spans="1:3">
      <c r="A33" s="4" t="s">
        <v>45</v>
      </c>
      <c r="B33">
        <v>2.5867090974932698</v>
      </c>
      <c r="C33">
        <v>2.5867090974932698</v>
      </c>
    </row>
    <row r="34" spans="1:3">
      <c r="A34" s="4" t="s">
        <v>46</v>
      </c>
      <c r="B34">
        <v>2.4745685384122602</v>
      </c>
      <c r="C34">
        <v>2.4745685384122602</v>
      </c>
    </row>
    <row r="35" spans="1:3">
      <c r="A35" s="4" t="s">
        <v>47</v>
      </c>
      <c r="B35">
        <v>2.3918172542009501</v>
      </c>
      <c r="C35">
        <v>2.3918172542009501</v>
      </c>
    </row>
    <row r="36" spans="1:3">
      <c r="A36" s="4" t="s">
        <v>48</v>
      </c>
      <c r="B36">
        <v>2.4003572330696801</v>
      </c>
      <c r="C36">
        <v>2.4003572330696801</v>
      </c>
    </row>
    <row r="37" spans="1:3">
      <c r="A37" s="4" t="s">
        <v>49</v>
      </c>
      <c r="B37">
        <v>2.3985092931158198</v>
      </c>
      <c r="C37">
        <v>2.3985092931158198</v>
      </c>
    </row>
    <row r="38" spans="1:3">
      <c r="A38" s="4" t="s">
        <v>50</v>
      </c>
      <c r="B38">
        <v>2.28230077562724</v>
      </c>
      <c r="C38">
        <v>2.28230077562724</v>
      </c>
    </row>
    <row r="39" spans="1:3">
      <c r="A39" s="4" t="s">
        <v>51</v>
      </c>
      <c r="B39">
        <v>3.1671905865643901</v>
      </c>
      <c r="C39">
        <v>2.3909338155921902</v>
      </c>
    </row>
    <row r="40" spans="1:3">
      <c r="A40" s="4" t="s">
        <v>52</v>
      </c>
      <c r="B40">
        <v>5.6789220890385197</v>
      </c>
      <c r="C40">
        <v>3.9471866106982398</v>
      </c>
    </row>
    <row r="41" spans="1:3">
      <c r="A41" s="4" t="s">
        <v>53</v>
      </c>
      <c r="B41">
        <v>9.5149905846361005</v>
      </c>
      <c r="C41">
        <v>7.3588089516894701</v>
      </c>
    </row>
    <row r="42" spans="1:3">
      <c r="A42" s="4" t="s">
        <v>54</v>
      </c>
      <c r="B42">
        <v>12.997978332376899</v>
      </c>
      <c r="C42">
        <v>9.2222468758913099</v>
      </c>
    </row>
    <row r="43" spans="1:3">
      <c r="A43" s="4" t="s">
        <v>55</v>
      </c>
      <c r="B43">
        <v>12.855602609118501</v>
      </c>
      <c r="C43">
        <v>9.5453731906289701</v>
      </c>
    </row>
    <row r="44" spans="1:3">
      <c r="A44" s="4" t="s">
        <v>56</v>
      </c>
      <c r="B44">
        <v>13.5423931729429</v>
      </c>
      <c r="C44">
        <v>10.1570021313099</v>
      </c>
    </row>
    <row r="45" spans="1:3">
      <c r="A45" s="4" t="s">
        <v>57</v>
      </c>
      <c r="B45">
        <v>14.163748810023201</v>
      </c>
      <c r="C45">
        <v>11.0245368660634</v>
      </c>
    </row>
    <row r="46" spans="1:3">
      <c r="A46" s="4" t="s">
        <v>58</v>
      </c>
      <c r="B46">
        <v>15.431987941974899</v>
      </c>
      <c r="C46">
        <v>11.1126966908186</v>
      </c>
    </row>
    <row r="47" spans="1:3">
      <c r="A47" s="4" t="s">
        <v>59</v>
      </c>
      <c r="B47">
        <v>15.516869713089401</v>
      </c>
      <c r="C47">
        <v>11.3840423031501</v>
      </c>
    </row>
    <row r="48" spans="1:3">
      <c r="A48" s="4" t="s">
        <v>60</v>
      </c>
      <c r="B48">
        <v>13.802965795525999</v>
      </c>
      <c r="C48">
        <v>10.4775587602185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0"/>
  <sheetViews>
    <sheetView workbookViewId="0"/>
  </sheetViews>
  <sheetFormatPr defaultColWidth="11.42578125" defaultRowHeight="15"/>
  <cols>
    <col min="1" max="1" width="8.7109375" customWidth="1"/>
    <col min="2" max="2" width="15.7109375" customWidth="1"/>
    <col min="3" max="3" width="14.7109375" customWidth="1"/>
  </cols>
  <sheetData>
    <row r="1" spans="1:3" ht="30" customHeight="1">
      <c r="A1" s="5" t="s">
        <v>11</v>
      </c>
      <c r="B1" s="5" t="s">
        <v>61</v>
      </c>
      <c r="C1" s="5" t="s">
        <v>62</v>
      </c>
    </row>
    <row r="2" spans="1:3">
      <c r="A2" s="4" t="s">
        <v>14</v>
      </c>
      <c r="B2" t="s">
        <v>63</v>
      </c>
      <c r="C2">
        <v>11.3751335461605</v>
      </c>
    </row>
    <row r="3" spans="1:3">
      <c r="A3" s="4" t="s">
        <v>15</v>
      </c>
      <c r="B3" t="s">
        <v>63</v>
      </c>
      <c r="C3">
        <v>11.4825980424121</v>
      </c>
    </row>
    <row r="4" spans="1:3">
      <c r="A4" s="4" t="s">
        <v>16</v>
      </c>
      <c r="B4" t="s">
        <v>63</v>
      </c>
      <c r="C4">
        <v>11.1135926166617</v>
      </c>
    </row>
    <row r="5" spans="1:3">
      <c r="A5" s="4" t="s">
        <v>17</v>
      </c>
      <c r="B5" t="s">
        <v>63</v>
      </c>
      <c r="C5">
        <v>11.9044438587985</v>
      </c>
    </row>
    <row r="6" spans="1:3">
      <c r="A6" s="4" t="s">
        <v>18</v>
      </c>
      <c r="B6" t="s">
        <v>63</v>
      </c>
      <c r="C6">
        <v>11.7273219302764</v>
      </c>
    </row>
    <row r="7" spans="1:3">
      <c r="A7" s="4" t="s">
        <v>19</v>
      </c>
      <c r="B7" t="s">
        <v>63</v>
      </c>
      <c r="C7">
        <v>10.4965789027799</v>
      </c>
    </row>
    <row r="8" spans="1:3">
      <c r="A8" s="4" t="s">
        <v>20</v>
      </c>
      <c r="B8" t="s">
        <v>63</v>
      </c>
      <c r="C8">
        <v>11.505210924264899</v>
      </c>
    </row>
    <row r="9" spans="1:3">
      <c r="A9" s="4" t="s">
        <v>21</v>
      </c>
      <c r="B9" t="s">
        <v>63</v>
      </c>
      <c r="C9">
        <v>11.1218407189946</v>
      </c>
    </row>
    <row r="10" spans="1:3">
      <c r="A10" s="4" t="s">
        <v>22</v>
      </c>
      <c r="B10" t="s">
        <v>63</v>
      </c>
      <c r="C10">
        <v>9.7902531971621993</v>
      </c>
    </row>
    <row r="11" spans="1:3">
      <c r="A11" s="4" t="s">
        <v>23</v>
      </c>
      <c r="B11" t="s">
        <v>63</v>
      </c>
      <c r="C11">
        <v>10.425111193848799</v>
      </c>
    </row>
    <row r="12" spans="1:3">
      <c r="A12" s="4" t="s">
        <v>24</v>
      </c>
      <c r="B12" t="s">
        <v>63</v>
      </c>
      <c r="C12">
        <v>10.7077773963215</v>
      </c>
    </row>
    <row r="13" spans="1:3">
      <c r="A13" s="4" t="s">
        <v>25</v>
      </c>
      <c r="B13" t="s">
        <v>63</v>
      </c>
      <c r="C13">
        <v>10.9356249364905</v>
      </c>
    </row>
    <row r="14" spans="1:3">
      <c r="A14" s="4" t="s">
        <v>26</v>
      </c>
      <c r="B14" t="s">
        <v>63</v>
      </c>
      <c r="C14">
        <v>11.1210414623784</v>
      </c>
    </row>
    <row r="15" spans="1:3">
      <c r="A15" s="4" t="s">
        <v>27</v>
      </c>
      <c r="B15" t="s">
        <v>63</v>
      </c>
      <c r="C15">
        <v>11.800647842438901</v>
      </c>
    </row>
    <row r="16" spans="1:3">
      <c r="A16" s="4" t="s">
        <v>28</v>
      </c>
      <c r="B16" t="s">
        <v>63</v>
      </c>
      <c r="C16">
        <v>10.507352928386499</v>
      </c>
    </row>
    <row r="17" spans="1:3">
      <c r="A17" s="4" t="s">
        <v>29</v>
      </c>
      <c r="B17" t="s">
        <v>63</v>
      </c>
      <c r="C17">
        <v>11.466458695599099</v>
      </c>
    </row>
    <row r="18" spans="1:3">
      <c r="A18" s="4" t="s">
        <v>30</v>
      </c>
      <c r="B18" t="s">
        <v>63</v>
      </c>
      <c r="C18">
        <v>11.440826245464301</v>
      </c>
    </row>
    <row r="19" spans="1:3">
      <c r="A19" s="4" t="s">
        <v>31</v>
      </c>
      <c r="B19" t="s">
        <v>63</v>
      </c>
      <c r="C19">
        <v>11.057709453982801</v>
      </c>
    </row>
    <row r="20" spans="1:3">
      <c r="A20" s="4" t="s">
        <v>32</v>
      </c>
      <c r="B20" t="s">
        <v>63</v>
      </c>
      <c r="C20">
        <v>10.960766478466301</v>
      </c>
    </row>
    <row r="21" spans="1:3">
      <c r="A21" s="4" t="s">
        <v>33</v>
      </c>
      <c r="B21" t="s">
        <v>63</v>
      </c>
      <c r="C21">
        <v>10.6157403780996</v>
      </c>
    </row>
    <row r="22" spans="1:3">
      <c r="A22" s="4" t="s">
        <v>34</v>
      </c>
      <c r="B22" t="s">
        <v>63</v>
      </c>
      <c r="C22">
        <v>9.7240754541405892</v>
      </c>
    </row>
    <row r="23" spans="1:3">
      <c r="A23" s="4" t="s">
        <v>35</v>
      </c>
      <c r="B23" t="s">
        <v>63</v>
      </c>
      <c r="C23">
        <v>9.6776063627535205</v>
      </c>
    </row>
    <row r="24" spans="1:3">
      <c r="A24" s="4" t="s">
        <v>36</v>
      </c>
      <c r="B24" t="s">
        <v>63</v>
      </c>
      <c r="C24">
        <v>9.7182148737806102</v>
      </c>
    </row>
    <row r="25" spans="1:3">
      <c r="A25" s="4" t="s">
        <v>37</v>
      </c>
      <c r="B25" t="s">
        <v>63</v>
      </c>
      <c r="C25">
        <v>10.810642793404</v>
      </c>
    </row>
    <row r="26" spans="1:3">
      <c r="A26" s="4" t="s">
        <v>38</v>
      </c>
      <c r="B26" t="s">
        <v>63</v>
      </c>
      <c r="C26">
        <v>11.5484545975069</v>
      </c>
    </row>
    <row r="27" spans="1:3">
      <c r="A27" s="4" t="s">
        <v>39</v>
      </c>
      <c r="B27" t="s">
        <v>63</v>
      </c>
      <c r="C27">
        <v>11.698125787923701</v>
      </c>
    </row>
    <row r="28" spans="1:3">
      <c r="A28" s="4" t="s">
        <v>40</v>
      </c>
      <c r="B28" t="s">
        <v>63</v>
      </c>
      <c r="C28">
        <v>11.5664428142719</v>
      </c>
    </row>
    <row r="29" spans="1:3">
      <c r="A29" s="4" t="s">
        <v>41</v>
      </c>
      <c r="B29" t="s">
        <v>63</v>
      </c>
      <c r="C29">
        <v>11.6674388025725</v>
      </c>
    </row>
    <row r="30" spans="1:3">
      <c r="A30" s="4" t="s">
        <v>42</v>
      </c>
      <c r="B30" t="s">
        <v>63</v>
      </c>
      <c r="C30">
        <v>11.1615236017157</v>
      </c>
    </row>
    <row r="31" spans="1:3">
      <c r="A31" s="4" t="s">
        <v>43</v>
      </c>
      <c r="B31" t="s">
        <v>63</v>
      </c>
      <c r="C31">
        <v>11.614676997535501</v>
      </c>
    </row>
    <row r="32" spans="1:3">
      <c r="A32" s="4" t="s">
        <v>44</v>
      </c>
      <c r="B32" t="s">
        <v>63</v>
      </c>
      <c r="C32">
        <v>11.5065755415566</v>
      </c>
    </row>
    <row r="33" spans="1:3">
      <c r="A33" s="4" t="s">
        <v>45</v>
      </c>
      <c r="B33" t="s">
        <v>63</v>
      </c>
      <c r="C33">
        <v>11.3221253152307</v>
      </c>
    </row>
    <row r="34" spans="1:3">
      <c r="A34" s="4" t="s">
        <v>46</v>
      </c>
      <c r="B34" t="s">
        <v>63</v>
      </c>
      <c r="C34">
        <v>10.0217415719244</v>
      </c>
    </row>
    <row r="35" spans="1:3">
      <c r="A35" s="4" t="s">
        <v>47</v>
      </c>
      <c r="B35" t="s">
        <v>63</v>
      </c>
      <c r="C35">
        <v>9.6949139221863199</v>
      </c>
    </row>
    <row r="36" spans="1:3">
      <c r="A36" s="4" t="s">
        <v>48</v>
      </c>
      <c r="B36" t="s">
        <v>63</v>
      </c>
      <c r="C36">
        <v>10.5816409647821</v>
      </c>
    </row>
    <row r="37" spans="1:3">
      <c r="A37" s="4" t="s">
        <v>49</v>
      </c>
      <c r="B37" t="s">
        <v>63</v>
      </c>
      <c r="C37">
        <v>10.9062949573444</v>
      </c>
    </row>
    <row r="38" spans="1:3">
      <c r="A38" s="4" t="s">
        <v>50</v>
      </c>
      <c r="B38" t="s">
        <v>63</v>
      </c>
      <c r="C38">
        <v>10.673593352543699</v>
      </c>
    </row>
    <row r="39" spans="1:3">
      <c r="A39" s="4" t="s">
        <v>51</v>
      </c>
      <c r="B39" t="s">
        <v>63</v>
      </c>
      <c r="C39">
        <v>13.186972017478899</v>
      </c>
    </row>
    <row r="40" spans="1:3">
      <c r="A40" s="4" t="s">
        <v>52</v>
      </c>
      <c r="B40" t="s">
        <v>63</v>
      </c>
      <c r="C40">
        <v>27.127317226799999</v>
      </c>
    </row>
    <row r="41" spans="1:3">
      <c r="A41" s="4" t="s">
        <v>53</v>
      </c>
      <c r="B41" t="s">
        <v>63</v>
      </c>
      <c r="C41">
        <v>39.866093219639303</v>
      </c>
    </row>
    <row r="42" spans="1:3">
      <c r="A42" s="4" t="s">
        <v>54</v>
      </c>
      <c r="B42" t="s">
        <v>63</v>
      </c>
      <c r="C42">
        <v>50.971821385036797</v>
      </c>
    </row>
    <row r="43" spans="1:3">
      <c r="A43" s="4" t="s">
        <v>55</v>
      </c>
      <c r="B43" t="s">
        <v>63</v>
      </c>
      <c r="C43">
        <v>42.965902951424397</v>
      </c>
    </row>
    <row r="44" spans="1:3">
      <c r="A44" s="4" t="s">
        <v>56</v>
      </c>
      <c r="B44" t="s">
        <v>63</v>
      </c>
      <c r="C44">
        <v>42.551125910496602</v>
      </c>
    </row>
    <row r="45" spans="1:3">
      <c r="A45" s="4" t="s">
        <v>57</v>
      </c>
      <c r="B45" t="s">
        <v>63</v>
      </c>
      <c r="C45">
        <v>42.105264877569802</v>
      </c>
    </row>
    <row r="46" spans="1:3">
      <c r="A46" s="4" t="s">
        <v>58</v>
      </c>
      <c r="B46" t="s">
        <v>63</v>
      </c>
      <c r="C46">
        <v>39.415809689755598</v>
      </c>
    </row>
    <row r="47" spans="1:3">
      <c r="A47" s="4" t="s">
        <v>59</v>
      </c>
      <c r="B47" t="s">
        <v>63</v>
      </c>
      <c r="C47">
        <v>39.949496166375802</v>
      </c>
    </row>
    <row r="48" spans="1:3">
      <c r="A48" s="4" t="s">
        <v>60</v>
      </c>
      <c r="B48" t="s">
        <v>63</v>
      </c>
      <c r="C48">
        <v>34.747551925964402</v>
      </c>
    </row>
    <row r="49" spans="1:3">
      <c r="A49" s="4" t="s">
        <v>14</v>
      </c>
      <c r="B49" t="s">
        <v>64</v>
      </c>
      <c r="C49">
        <v>0.209206923524664</v>
      </c>
    </row>
    <row r="50" spans="1:3">
      <c r="A50" s="4" t="s">
        <v>15</v>
      </c>
      <c r="B50" t="s">
        <v>64</v>
      </c>
      <c r="C50">
        <v>0.21208417915174099</v>
      </c>
    </row>
    <row r="51" spans="1:3">
      <c r="A51" s="4" t="s">
        <v>16</v>
      </c>
      <c r="B51" t="s">
        <v>64</v>
      </c>
      <c r="C51">
        <v>0.19857807795849</v>
      </c>
    </row>
    <row r="52" spans="1:3">
      <c r="A52" s="4" t="s">
        <v>17</v>
      </c>
      <c r="B52" t="s">
        <v>64</v>
      </c>
      <c r="C52">
        <v>0.18502033020098399</v>
      </c>
    </row>
    <row r="53" spans="1:3">
      <c r="A53" s="4" t="s">
        <v>18</v>
      </c>
      <c r="B53" t="s">
        <v>64</v>
      </c>
      <c r="C53">
        <v>0.21654308536780201</v>
      </c>
    </row>
    <row r="54" spans="1:3">
      <c r="A54" s="4" t="s">
        <v>19</v>
      </c>
      <c r="B54" t="s">
        <v>64</v>
      </c>
      <c r="C54">
        <v>0.20088102760812501</v>
      </c>
    </row>
    <row r="55" spans="1:3">
      <c r="A55" s="4" t="s">
        <v>20</v>
      </c>
      <c r="B55" t="s">
        <v>64</v>
      </c>
      <c r="C55">
        <v>0.223026646972451</v>
      </c>
    </row>
    <row r="56" spans="1:3">
      <c r="A56" s="4" t="s">
        <v>21</v>
      </c>
      <c r="B56" t="s">
        <v>64</v>
      </c>
      <c r="C56">
        <v>0.24038626334984001</v>
      </c>
    </row>
    <row r="57" spans="1:3">
      <c r="A57" s="4" t="s">
        <v>22</v>
      </c>
      <c r="B57" t="s">
        <v>64</v>
      </c>
      <c r="C57">
        <v>0.229102116431224</v>
      </c>
    </row>
    <row r="58" spans="1:3">
      <c r="A58" s="4" t="s">
        <v>23</v>
      </c>
      <c r="B58" t="s">
        <v>64</v>
      </c>
      <c r="C58">
        <v>0.22278151812643099</v>
      </c>
    </row>
    <row r="59" spans="1:3">
      <c r="A59" s="4" t="s">
        <v>24</v>
      </c>
      <c r="B59" t="s">
        <v>64</v>
      </c>
      <c r="C59">
        <v>0.23245718363531001</v>
      </c>
    </row>
    <row r="60" spans="1:3">
      <c r="A60" s="4" t="s">
        <v>25</v>
      </c>
      <c r="B60" t="s">
        <v>64</v>
      </c>
      <c r="C60">
        <v>0.233730271704228</v>
      </c>
    </row>
    <row r="61" spans="1:3">
      <c r="A61" s="4" t="s">
        <v>26</v>
      </c>
      <c r="B61" t="s">
        <v>64</v>
      </c>
      <c r="C61">
        <v>0.251115672842809</v>
      </c>
    </row>
    <row r="62" spans="1:3">
      <c r="A62" s="4" t="s">
        <v>27</v>
      </c>
      <c r="B62" t="s">
        <v>64</v>
      </c>
      <c r="C62">
        <v>0.247814299187957</v>
      </c>
    </row>
    <row r="63" spans="1:3">
      <c r="A63" s="4" t="s">
        <v>28</v>
      </c>
      <c r="B63" t="s">
        <v>64</v>
      </c>
      <c r="C63">
        <v>0.24071315583508501</v>
      </c>
    </row>
    <row r="64" spans="1:3">
      <c r="A64" s="4" t="s">
        <v>29</v>
      </c>
      <c r="B64" t="s">
        <v>64</v>
      </c>
      <c r="C64">
        <v>0.240653263173806</v>
      </c>
    </row>
    <row r="65" spans="1:3">
      <c r="A65" s="4" t="s">
        <v>30</v>
      </c>
      <c r="B65" t="s">
        <v>64</v>
      </c>
      <c r="C65">
        <v>0.24983714051314801</v>
      </c>
    </row>
    <row r="66" spans="1:3">
      <c r="A66" s="4" t="s">
        <v>31</v>
      </c>
      <c r="B66" t="s">
        <v>64</v>
      </c>
      <c r="C66">
        <v>0.25518214584708299</v>
      </c>
    </row>
    <row r="67" spans="1:3">
      <c r="A67" s="4" t="s">
        <v>32</v>
      </c>
      <c r="B67" t="s">
        <v>64</v>
      </c>
      <c r="C67">
        <v>0.285896237672144</v>
      </c>
    </row>
    <row r="68" spans="1:3">
      <c r="A68" s="4" t="s">
        <v>33</v>
      </c>
      <c r="B68" t="s">
        <v>64</v>
      </c>
      <c r="C68">
        <v>0.27375325333064199</v>
      </c>
    </row>
    <row r="69" spans="1:3">
      <c r="A69" s="4" t="s">
        <v>34</v>
      </c>
      <c r="B69" t="s">
        <v>64</v>
      </c>
      <c r="C69">
        <v>0.26335425147971198</v>
      </c>
    </row>
    <row r="70" spans="1:3">
      <c r="A70" s="4" t="s">
        <v>35</v>
      </c>
      <c r="B70" t="s">
        <v>64</v>
      </c>
      <c r="C70">
        <v>0.243723884799812</v>
      </c>
    </row>
    <row r="71" spans="1:3">
      <c r="A71" s="4" t="s">
        <v>36</v>
      </c>
      <c r="B71" t="s">
        <v>64</v>
      </c>
      <c r="C71">
        <v>0.26408449849364701</v>
      </c>
    </row>
    <row r="72" spans="1:3">
      <c r="A72" s="4" t="s">
        <v>37</v>
      </c>
      <c r="B72" t="s">
        <v>64</v>
      </c>
      <c r="C72">
        <v>0.26837895363046399</v>
      </c>
    </row>
    <row r="73" spans="1:3">
      <c r="A73" s="4" t="s">
        <v>38</v>
      </c>
      <c r="B73" t="s">
        <v>64</v>
      </c>
      <c r="C73">
        <v>0.26928017567327001</v>
      </c>
    </row>
    <row r="74" spans="1:3">
      <c r="A74" s="4" t="s">
        <v>39</v>
      </c>
      <c r="B74" t="s">
        <v>64</v>
      </c>
      <c r="C74">
        <v>0.25312623868614298</v>
      </c>
    </row>
    <row r="75" spans="1:3">
      <c r="A75" s="4" t="s">
        <v>40</v>
      </c>
      <c r="B75" t="s">
        <v>64</v>
      </c>
      <c r="C75">
        <v>0.26515788099525001</v>
      </c>
    </row>
    <row r="76" spans="1:3">
      <c r="A76" s="4" t="s">
        <v>41</v>
      </c>
      <c r="B76" t="s">
        <v>64</v>
      </c>
      <c r="C76">
        <v>0.25597021835226302</v>
      </c>
    </row>
    <row r="77" spans="1:3">
      <c r="A77" s="4" t="s">
        <v>42</v>
      </c>
      <c r="B77" t="s">
        <v>64</v>
      </c>
      <c r="C77">
        <v>0.25131228719381399</v>
      </c>
    </row>
    <row r="78" spans="1:3">
      <c r="A78" s="4" t="s">
        <v>43</v>
      </c>
      <c r="B78" t="s">
        <v>64</v>
      </c>
      <c r="C78">
        <v>0.24074453091328199</v>
      </c>
    </row>
    <row r="79" spans="1:3">
      <c r="A79" s="4" t="s">
        <v>44</v>
      </c>
      <c r="B79" t="s">
        <v>64</v>
      </c>
      <c r="C79">
        <v>0.26497622355732398</v>
      </c>
    </row>
    <row r="80" spans="1:3">
      <c r="A80" s="4" t="s">
        <v>45</v>
      </c>
      <c r="B80" t="s">
        <v>64</v>
      </c>
      <c r="C80">
        <v>0.26499303525475298</v>
      </c>
    </row>
    <row r="81" spans="1:3">
      <c r="A81" s="4" t="s">
        <v>46</v>
      </c>
      <c r="B81" t="s">
        <v>64</v>
      </c>
      <c r="C81">
        <v>0.228986664854437</v>
      </c>
    </row>
    <row r="82" spans="1:3">
      <c r="A82" s="4" t="s">
        <v>47</v>
      </c>
      <c r="B82" t="s">
        <v>64</v>
      </c>
      <c r="C82">
        <v>0.24804135773876401</v>
      </c>
    </row>
    <row r="83" spans="1:3">
      <c r="A83" s="4" t="s">
        <v>48</v>
      </c>
      <c r="B83" t="s">
        <v>64</v>
      </c>
      <c r="C83">
        <v>0.243789583612605</v>
      </c>
    </row>
    <row r="84" spans="1:3">
      <c r="A84" s="4" t="s">
        <v>49</v>
      </c>
      <c r="B84" t="s">
        <v>64</v>
      </c>
      <c r="C84">
        <v>0.26329621971084499</v>
      </c>
    </row>
    <row r="85" spans="1:3">
      <c r="A85" s="4" t="s">
        <v>50</v>
      </c>
      <c r="B85" t="s">
        <v>64</v>
      </c>
      <c r="C85">
        <v>0.28369742651497698</v>
      </c>
    </row>
    <row r="86" spans="1:3">
      <c r="A86" s="4" t="s">
        <v>51</v>
      </c>
      <c r="B86" t="s">
        <v>64</v>
      </c>
      <c r="C86">
        <v>0.27669330346495002</v>
      </c>
    </row>
    <row r="87" spans="1:3">
      <c r="A87" s="4" t="s">
        <v>52</v>
      </c>
      <c r="B87" t="s">
        <v>64</v>
      </c>
      <c r="C87">
        <v>3.8857612998622999</v>
      </c>
    </row>
    <row r="88" spans="1:3">
      <c r="A88" s="4" t="s">
        <v>53</v>
      </c>
      <c r="B88" t="s">
        <v>64</v>
      </c>
      <c r="C88">
        <v>4.2119580161123498</v>
      </c>
    </row>
    <row r="89" spans="1:3">
      <c r="A89" s="4" t="s">
        <v>54</v>
      </c>
      <c r="B89" t="s">
        <v>64</v>
      </c>
      <c r="C89">
        <v>4.4376065618972298</v>
      </c>
    </row>
    <row r="90" spans="1:3">
      <c r="A90" s="4" t="s">
        <v>55</v>
      </c>
      <c r="B90" t="s">
        <v>64</v>
      </c>
      <c r="C90">
        <v>4.0813968121663997</v>
      </c>
    </row>
    <row r="91" spans="1:3">
      <c r="A91" s="4" t="s">
        <v>56</v>
      </c>
      <c r="B91" t="s">
        <v>64</v>
      </c>
      <c r="C91">
        <v>4.8443538429651003</v>
      </c>
    </row>
    <row r="92" spans="1:3">
      <c r="A92" s="4" t="s">
        <v>57</v>
      </c>
      <c r="B92" t="s">
        <v>64</v>
      </c>
      <c r="C92">
        <v>4.7912352770655504</v>
      </c>
    </row>
    <row r="93" spans="1:3">
      <c r="A93" s="4" t="s">
        <v>58</v>
      </c>
      <c r="B93" t="s">
        <v>64</v>
      </c>
      <c r="C93">
        <v>4.82035610593217</v>
      </c>
    </row>
    <row r="94" spans="1:3">
      <c r="A94" s="4" t="s">
        <v>59</v>
      </c>
      <c r="B94" t="s">
        <v>64</v>
      </c>
      <c r="C94">
        <v>4.6824754624449998</v>
      </c>
    </row>
    <row r="95" spans="1:3">
      <c r="A95" s="4" t="s">
        <v>60</v>
      </c>
      <c r="B95" t="s">
        <v>64</v>
      </c>
      <c r="C95">
        <v>4.2655286967880999</v>
      </c>
    </row>
    <row r="96" spans="1:3">
      <c r="A96" s="4" t="s">
        <v>14</v>
      </c>
      <c r="B96" t="s">
        <v>65</v>
      </c>
      <c r="C96">
        <v>8.8130955773194006E-2</v>
      </c>
    </row>
    <row r="97" spans="1:3">
      <c r="A97" s="4" t="s">
        <v>15</v>
      </c>
      <c r="B97" t="s">
        <v>65</v>
      </c>
      <c r="C97">
        <v>8.4622817174767995E-2</v>
      </c>
    </row>
    <row r="98" spans="1:3">
      <c r="A98" s="4" t="s">
        <v>16</v>
      </c>
      <c r="B98" t="s">
        <v>65</v>
      </c>
      <c r="C98">
        <v>8.3865950964821606E-2</v>
      </c>
    </row>
    <row r="99" spans="1:3">
      <c r="A99" s="4" t="s">
        <v>17</v>
      </c>
      <c r="B99" t="s">
        <v>65</v>
      </c>
      <c r="C99">
        <v>7.3811837888730705E-2</v>
      </c>
    </row>
    <row r="100" spans="1:3">
      <c r="A100" s="4" t="s">
        <v>18</v>
      </c>
      <c r="B100" t="s">
        <v>65</v>
      </c>
      <c r="C100">
        <v>8.4900086173227002E-2</v>
      </c>
    </row>
    <row r="101" spans="1:3">
      <c r="A101" s="4" t="s">
        <v>19</v>
      </c>
      <c r="B101" t="s">
        <v>65</v>
      </c>
      <c r="C101">
        <v>8.0405851453553501E-2</v>
      </c>
    </row>
    <row r="102" spans="1:3">
      <c r="A102" s="4" t="s">
        <v>20</v>
      </c>
      <c r="B102" t="s">
        <v>65</v>
      </c>
      <c r="C102">
        <v>9.5373635237636201E-2</v>
      </c>
    </row>
    <row r="103" spans="1:3">
      <c r="A103" s="4" t="s">
        <v>21</v>
      </c>
      <c r="B103" t="s">
        <v>65</v>
      </c>
      <c r="C103">
        <v>0.106282186172384</v>
      </c>
    </row>
    <row r="104" spans="1:3">
      <c r="A104" s="4" t="s">
        <v>22</v>
      </c>
      <c r="B104" t="s">
        <v>65</v>
      </c>
      <c r="C104">
        <v>9.59656924679647E-2</v>
      </c>
    </row>
    <row r="105" spans="1:3">
      <c r="A105" s="4" t="s">
        <v>23</v>
      </c>
      <c r="B105" t="s">
        <v>65</v>
      </c>
      <c r="C105">
        <v>9.3982744648579003E-2</v>
      </c>
    </row>
    <row r="106" spans="1:3">
      <c r="A106" s="4" t="s">
        <v>24</v>
      </c>
      <c r="B106" t="s">
        <v>65</v>
      </c>
      <c r="C106">
        <v>8.0054055735440402E-2</v>
      </c>
    </row>
    <row r="107" spans="1:3">
      <c r="A107" s="4" t="s">
        <v>25</v>
      </c>
      <c r="B107" t="s">
        <v>65</v>
      </c>
      <c r="C107">
        <v>9.7380074929530505E-2</v>
      </c>
    </row>
    <row r="108" spans="1:3">
      <c r="A108" s="4" t="s">
        <v>26</v>
      </c>
      <c r="B108" t="s">
        <v>65</v>
      </c>
      <c r="C108">
        <v>9.0689715770088303E-2</v>
      </c>
    </row>
    <row r="109" spans="1:3">
      <c r="A109" s="4" t="s">
        <v>27</v>
      </c>
      <c r="B109" t="s">
        <v>65</v>
      </c>
      <c r="C109">
        <v>9.0881013404604999E-2</v>
      </c>
    </row>
    <row r="110" spans="1:3">
      <c r="A110" s="4" t="s">
        <v>28</v>
      </c>
      <c r="B110" t="s">
        <v>65</v>
      </c>
      <c r="C110">
        <v>9.23809614370317E-2</v>
      </c>
    </row>
    <row r="111" spans="1:3">
      <c r="A111" s="4" t="s">
        <v>29</v>
      </c>
      <c r="B111" t="s">
        <v>65</v>
      </c>
      <c r="C111">
        <v>8.36669708730262E-2</v>
      </c>
    </row>
    <row r="112" spans="1:3">
      <c r="A112" s="4" t="s">
        <v>30</v>
      </c>
      <c r="B112" t="s">
        <v>65</v>
      </c>
      <c r="C112">
        <v>9.5758119222030397E-2</v>
      </c>
    </row>
    <row r="113" spans="1:3">
      <c r="A113" s="4" t="s">
        <v>31</v>
      </c>
      <c r="B113" t="s">
        <v>65</v>
      </c>
      <c r="C113">
        <v>8.1572836561834394E-2</v>
      </c>
    </row>
    <row r="114" spans="1:3">
      <c r="A114" s="4" t="s">
        <v>32</v>
      </c>
      <c r="B114" t="s">
        <v>65</v>
      </c>
      <c r="C114">
        <v>0.10042995189951499</v>
      </c>
    </row>
    <row r="115" spans="1:3">
      <c r="A115" s="4" t="s">
        <v>33</v>
      </c>
      <c r="B115" t="s">
        <v>65</v>
      </c>
      <c r="C115">
        <v>9.6000993802140097E-2</v>
      </c>
    </row>
    <row r="116" spans="1:3">
      <c r="A116" s="4" t="s">
        <v>34</v>
      </c>
      <c r="B116" t="s">
        <v>65</v>
      </c>
      <c r="C116">
        <v>9.4972699545099501E-2</v>
      </c>
    </row>
    <row r="117" spans="1:3">
      <c r="A117" s="4" t="s">
        <v>35</v>
      </c>
      <c r="B117" t="s">
        <v>65</v>
      </c>
      <c r="C117">
        <v>8.5057973893493594E-2</v>
      </c>
    </row>
    <row r="118" spans="1:3">
      <c r="A118" s="4" t="s">
        <v>36</v>
      </c>
      <c r="B118" t="s">
        <v>65</v>
      </c>
      <c r="C118">
        <v>8.8768916125395003E-2</v>
      </c>
    </row>
    <row r="119" spans="1:3">
      <c r="A119" s="4" t="s">
        <v>37</v>
      </c>
      <c r="B119" t="s">
        <v>65</v>
      </c>
      <c r="C119">
        <v>8.4554427092746395E-2</v>
      </c>
    </row>
    <row r="120" spans="1:3">
      <c r="A120" s="4" t="s">
        <v>38</v>
      </c>
      <c r="B120" t="s">
        <v>65</v>
      </c>
      <c r="C120">
        <v>0.10643103330645</v>
      </c>
    </row>
    <row r="121" spans="1:3">
      <c r="A121" s="4" t="s">
        <v>39</v>
      </c>
      <c r="B121" t="s">
        <v>65</v>
      </c>
      <c r="C121">
        <v>9.9861018711440902E-2</v>
      </c>
    </row>
    <row r="122" spans="1:3">
      <c r="A122" s="4" t="s">
        <v>40</v>
      </c>
      <c r="B122" t="s">
        <v>65</v>
      </c>
      <c r="C122">
        <v>0.116222195620633</v>
      </c>
    </row>
    <row r="123" spans="1:3">
      <c r="A123" s="4" t="s">
        <v>41</v>
      </c>
      <c r="B123" t="s">
        <v>65</v>
      </c>
      <c r="C123">
        <v>0.104700493500854</v>
      </c>
    </row>
    <row r="124" spans="1:3">
      <c r="A124" s="4" t="s">
        <v>42</v>
      </c>
      <c r="B124" t="s">
        <v>65</v>
      </c>
      <c r="C124">
        <v>0.11708544900960401</v>
      </c>
    </row>
    <row r="125" spans="1:3">
      <c r="A125" s="4" t="s">
        <v>43</v>
      </c>
      <c r="B125" t="s">
        <v>65</v>
      </c>
      <c r="C125">
        <v>0.10790766162716101</v>
      </c>
    </row>
    <row r="126" spans="1:3">
      <c r="A126" s="4" t="s">
        <v>44</v>
      </c>
      <c r="B126" t="s">
        <v>65</v>
      </c>
      <c r="C126">
        <v>0.105977909890404</v>
      </c>
    </row>
    <row r="127" spans="1:3">
      <c r="A127" s="4" t="s">
        <v>45</v>
      </c>
      <c r="B127" t="s">
        <v>65</v>
      </c>
      <c r="C127">
        <v>9.6330859314449402E-2</v>
      </c>
    </row>
    <row r="128" spans="1:3">
      <c r="A128" s="4" t="s">
        <v>46</v>
      </c>
      <c r="B128" t="s">
        <v>65</v>
      </c>
      <c r="C128">
        <v>9.5574760181553198E-2</v>
      </c>
    </row>
    <row r="129" spans="1:3">
      <c r="A129" s="4" t="s">
        <v>47</v>
      </c>
      <c r="B129" t="s">
        <v>65</v>
      </c>
      <c r="C129">
        <v>0.108432100840179</v>
      </c>
    </row>
    <row r="130" spans="1:3">
      <c r="A130" s="4" t="s">
        <v>48</v>
      </c>
      <c r="B130" t="s">
        <v>65</v>
      </c>
      <c r="C130">
        <v>9.9126204303876295E-2</v>
      </c>
    </row>
    <row r="131" spans="1:3">
      <c r="A131" s="4" t="s">
        <v>49</v>
      </c>
      <c r="B131" t="s">
        <v>65</v>
      </c>
      <c r="C131">
        <v>0.101507535230699</v>
      </c>
    </row>
    <row r="132" spans="1:3">
      <c r="A132" s="4" t="s">
        <v>50</v>
      </c>
      <c r="B132" t="s">
        <v>65</v>
      </c>
      <c r="C132">
        <v>0.11745846089322801</v>
      </c>
    </row>
    <row r="133" spans="1:3">
      <c r="A133" s="4" t="s">
        <v>51</v>
      </c>
      <c r="B133" t="s">
        <v>65</v>
      </c>
      <c r="C133">
        <v>0.11285307759852101</v>
      </c>
    </row>
    <row r="134" spans="1:3">
      <c r="A134" s="4" t="s">
        <v>52</v>
      </c>
      <c r="B134" t="s">
        <v>65</v>
      </c>
      <c r="C134">
        <v>1.9345099575390801</v>
      </c>
    </row>
    <row r="135" spans="1:3">
      <c r="A135" s="4" t="s">
        <v>53</v>
      </c>
      <c r="B135" t="s">
        <v>65</v>
      </c>
      <c r="C135">
        <v>2.4154087846082501</v>
      </c>
    </row>
    <row r="136" spans="1:3">
      <c r="A136" s="4" t="s">
        <v>54</v>
      </c>
      <c r="B136" t="s">
        <v>65</v>
      </c>
      <c r="C136">
        <v>1.9774481803413999</v>
      </c>
    </row>
    <row r="137" spans="1:3">
      <c r="A137" s="4" t="s">
        <v>55</v>
      </c>
      <c r="B137" t="s">
        <v>65</v>
      </c>
      <c r="C137">
        <v>2.4983662348807201</v>
      </c>
    </row>
    <row r="138" spans="1:3">
      <c r="A138" s="4" t="s">
        <v>56</v>
      </c>
      <c r="B138" t="s">
        <v>65</v>
      </c>
      <c r="C138">
        <v>3.1332163868310898</v>
      </c>
    </row>
    <row r="139" spans="1:3">
      <c r="A139" s="4" t="s">
        <v>57</v>
      </c>
      <c r="B139" t="s">
        <v>65</v>
      </c>
      <c r="C139">
        <v>4.0344393137085701</v>
      </c>
    </row>
    <row r="140" spans="1:3">
      <c r="A140" s="4" t="s">
        <v>58</v>
      </c>
      <c r="B140" t="s">
        <v>65</v>
      </c>
      <c r="C140">
        <v>4.1037110264501599</v>
      </c>
    </row>
    <row r="141" spans="1:3">
      <c r="A141" s="4" t="s">
        <v>59</v>
      </c>
      <c r="B141" t="s">
        <v>65</v>
      </c>
      <c r="C141">
        <v>4.0911308146269203</v>
      </c>
    </row>
    <row r="142" spans="1:3">
      <c r="A142" s="4" t="s">
        <v>60</v>
      </c>
      <c r="B142" t="s">
        <v>65</v>
      </c>
      <c r="C142">
        <v>3.8726150961805801</v>
      </c>
    </row>
    <row r="143" spans="1:3">
      <c r="A143" s="4" t="s">
        <v>14</v>
      </c>
      <c r="B143" t="s">
        <v>66</v>
      </c>
      <c r="C143">
        <v>0.11247030288412301</v>
      </c>
    </row>
    <row r="144" spans="1:3">
      <c r="A144" s="4" t="s">
        <v>15</v>
      </c>
      <c r="B144" t="s">
        <v>66</v>
      </c>
      <c r="C144">
        <v>0.14690725486512901</v>
      </c>
    </row>
    <row r="145" spans="1:3">
      <c r="A145" s="4" t="s">
        <v>16</v>
      </c>
      <c r="B145" t="s">
        <v>66</v>
      </c>
      <c r="C145">
        <v>0.156790097178093</v>
      </c>
    </row>
    <row r="146" spans="1:3">
      <c r="A146" s="4" t="s">
        <v>17</v>
      </c>
      <c r="B146" t="s">
        <v>66</v>
      </c>
      <c r="C146">
        <v>0.147246043418958</v>
      </c>
    </row>
    <row r="147" spans="1:3">
      <c r="A147" s="4" t="s">
        <v>18</v>
      </c>
      <c r="B147" t="s">
        <v>66</v>
      </c>
      <c r="C147">
        <v>0.172630725284215</v>
      </c>
    </row>
    <row r="148" spans="1:3">
      <c r="A148" s="4" t="s">
        <v>19</v>
      </c>
      <c r="B148" t="s">
        <v>66</v>
      </c>
      <c r="C148">
        <v>0.143635872025728</v>
      </c>
    </row>
    <row r="149" spans="1:3">
      <c r="A149" s="4" t="s">
        <v>20</v>
      </c>
      <c r="B149" t="s">
        <v>66</v>
      </c>
      <c r="C149">
        <v>0.33552478756024401</v>
      </c>
    </row>
    <row r="150" spans="1:3">
      <c r="A150" s="4" t="s">
        <v>21</v>
      </c>
      <c r="B150" t="s">
        <v>66</v>
      </c>
      <c r="C150">
        <v>0.218308977746762</v>
      </c>
    </row>
    <row r="151" spans="1:3">
      <c r="A151" s="4" t="s">
        <v>22</v>
      </c>
      <c r="B151" t="s">
        <v>66</v>
      </c>
      <c r="C151">
        <v>0.23345601901390101</v>
      </c>
    </row>
    <row r="152" spans="1:3">
      <c r="A152" s="4" t="s">
        <v>23</v>
      </c>
      <c r="B152" t="s">
        <v>66</v>
      </c>
      <c r="C152">
        <v>0.26980114223834201</v>
      </c>
    </row>
    <row r="153" spans="1:3">
      <c r="A153" s="4" t="s">
        <v>24</v>
      </c>
      <c r="B153" t="s">
        <v>66</v>
      </c>
      <c r="C153">
        <v>0.25620010683706101</v>
      </c>
    </row>
    <row r="154" spans="1:3">
      <c r="A154" s="4" t="s">
        <v>25</v>
      </c>
      <c r="B154" t="s">
        <v>66</v>
      </c>
      <c r="C154">
        <v>0.19004335720405399</v>
      </c>
    </row>
    <row r="155" spans="1:3">
      <c r="A155" s="4" t="s">
        <v>26</v>
      </c>
      <c r="B155" t="s">
        <v>66</v>
      </c>
      <c r="C155">
        <v>0.15487014505222099</v>
      </c>
    </row>
    <row r="156" spans="1:3">
      <c r="A156" s="4" t="s">
        <v>27</v>
      </c>
      <c r="B156" t="s">
        <v>66</v>
      </c>
      <c r="C156">
        <v>0.24925930020456899</v>
      </c>
    </row>
    <row r="157" spans="1:3">
      <c r="A157" s="4" t="s">
        <v>28</v>
      </c>
      <c r="B157" t="s">
        <v>66</v>
      </c>
      <c r="C157">
        <v>0.239979952887618</v>
      </c>
    </row>
    <row r="158" spans="1:3">
      <c r="A158" s="4" t="s">
        <v>29</v>
      </c>
      <c r="B158" t="s">
        <v>66</v>
      </c>
      <c r="C158">
        <v>0.25435041738074099</v>
      </c>
    </row>
    <row r="159" spans="1:3">
      <c r="A159" s="4" t="s">
        <v>30</v>
      </c>
      <c r="B159" t="s">
        <v>66</v>
      </c>
      <c r="C159">
        <v>0.17961686811976399</v>
      </c>
    </row>
    <row r="160" spans="1:3">
      <c r="A160" s="4" t="s">
        <v>31</v>
      </c>
      <c r="B160" t="s">
        <v>66</v>
      </c>
      <c r="C160">
        <v>0.11797492348977399</v>
      </c>
    </row>
    <row r="161" spans="1:3">
      <c r="A161" s="4" t="s">
        <v>32</v>
      </c>
      <c r="B161" t="s">
        <v>66</v>
      </c>
      <c r="C161">
        <v>0.16315525503752901</v>
      </c>
    </row>
    <row r="162" spans="1:3">
      <c r="A162" s="4" t="s">
        <v>33</v>
      </c>
      <c r="B162" t="s">
        <v>66</v>
      </c>
      <c r="C162">
        <v>0.16312809139992401</v>
      </c>
    </row>
    <row r="163" spans="1:3">
      <c r="A163" s="4" t="s">
        <v>34</v>
      </c>
      <c r="B163" t="s">
        <v>66</v>
      </c>
      <c r="C163">
        <v>0.17436942565098601</v>
      </c>
    </row>
    <row r="164" spans="1:3">
      <c r="A164" s="4" t="s">
        <v>35</v>
      </c>
      <c r="B164" t="s">
        <v>66</v>
      </c>
      <c r="C164">
        <v>0.22713660024871299</v>
      </c>
    </row>
    <row r="165" spans="1:3">
      <c r="A165" s="4" t="s">
        <v>36</v>
      </c>
      <c r="B165" t="s">
        <v>66</v>
      </c>
      <c r="C165">
        <v>0.220725427797381</v>
      </c>
    </row>
    <row r="166" spans="1:3">
      <c r="A166" s="4" t="s">
        <v>37</v>
      </c>
      <c r="B166" t="s">
        <v>66</v>
      </c>
      <c r="C166">
        <v>0.20726224482754901</v>
      </c>
    </row>
    <row r="167" spans="1:3">
      <c r="A167" s="4" t="s">
        <v>38</v>
      </c>
      <c r="B167" t="s">
        <v>66</v>
      </c>
      <c r="C167">
        <v>0.18994344614116501</v>
      </c>
    </row>
    <row r="168" spans="1:3">
      <c r="A168" s="4" t="s">
        <v>39</v>
      </c>
      <c r="B168" t="s">
        <v>66</v>
      </c>
      <c r="C168">
        <v>0.23434333007407099</v>
      </c>
    </row>
    <row r="169" spans="1:3">
      <c r="A169" s="4" t="s">
        <v>40</v>
      </c>
      <c r="B169" t="s">
        <v>66</v>
      </c>
      <c r="C169">
        <v>0.18239261257224201</v>
      </c>
    </row>
    <row r="170" spans="1:3">
      <c r="A170" s="4" t="s">
        <v>41</v>
      </c>
      <c r="B170" t="s">
        <v>66</v>
      </c>
      <c r="C170">
        <v>0.144862444371365</v>
      </c>
    </row>
    <row r="171" spans="1:3">
      <c r="A171" s="4" t="s">
        <v>42</v>
      </c>
      <c r="B171" t="s">
        <v>66</v>
      </c>
      <c r="C171">
        <v>0.22619740492549401</v>
      </c>
    </row>
    <row r="172" spans="1:3">
      <c r="A172" s="4" t="s">
        <v>43</v>
      </c>
      <c r="B172" t="s">
        <v>66</v>
      </c>
      <c r="C172">
        <v>0.22426411008945801</v>
      </c>
    </row>
    <row r="173" spans="1:3">
      <c r="A173" s="4" t="s">
        <v>44</v>
      </c>
      <c r="B173" t="s">
        <v>66</v>
      </c>
      <c r="C173">
        <v>0.238091074765097</v>
      </c>
    </row>
    <row r="174" spans="1:3">
      <c r="A174" s="4" t="s">
        <v>45</v>
      </c>
      <c r="B174" t="s">
        <v>66</v>
      </c>
      <c r="C174">
        <v>0.18116540173693499</v>
      </c>
    </row>
    <row r="175" spans="1:3">
      <c r="A175" s="4" t="s">
        <v>46</v>
      </c>
      <c r="B175" t="s">
        <v>66</v>
      </c>
      <c r="C175">
        <v>0.157335839535995</v>
      </c>
    </row>
    <row r="176" spans="1:3">
      <c r="A176" s="4" t="s">
        <v>47</v>
      </c>
      <c r="B176" t="s">
        <v>66</v>
      </c>
      <c r="C176">
        <v>0.167645326385369</v>
      </c>
    </row>
    <row r="177" spans="1:3">
      <c r="A177" s="4" t="s">
        <v>48</v>
      </c>
      <c r="B177" t="s">
        <v>66</v>
      </c>
      <c r="C177">
        <v>0.20020685182321801</v>
      </c>
    </row>
    <row r="178" spans="1:3">
      <c r="A178" s="4" t="s">
        <v>49</v>
      </c>
      <c r="B178" t="s">
        <v>66</v>
      </c>
      <c r="C178">
        <v>0.28845654302679702</v>
      </c>
    </row>
    <row r="179" spans="1:3">
      <c r="A179" s="4" t="s">
        <v>50</v>
      </c>
      <c r="B179" t="s">
        <v>66</v>
      </c>
      <c r="C179">
        <v>0.11487403441076</v>
      </c>
    </row>
    <row r="180" spans="1:3">
      <c r="A180" s="4" t="s">
        <v>51</v>
      </c>
      <c r="B180" t="s">
        <v>66</v>
      </c>
      <c r="C180">
        <v>8.1698181476803897E-2</v>
      </c>
    </row>
    <row r="181" spans="1:3">
      <c r="A181" s="4" t="s">
        <v>52</v>
      </c>
      <c r="B181" t="s">
        <v>66</v>
      </c>
      <c r="C181">
        <v>5.1949798465769699E-2</v>
      </c>
    </row>
    <row r="182" spans="1:3">
      <c r="A182" s="4" t="s">
        <v>53</v>
      </c>
      <c r="B182" t="s">
        <v>66</v>
      </c>
      <c r="C182">
        <v>0.68778403280115996</v>
      </c>
    </row>
    <row r="183" spans="1:3">
      <c r="A183" s="4" t="s">
        <v>54</v>
      </c>
      <c r="B183" t="s">
        <v>66</v>
      </c>
      <c r="C183">
        <v>0.66385869705489398</v>
      </c>
    </row>
    <row r="184" spans="1:3">
      <c r="A184" s="4" t="s">
        <v>55</v>
      </c>
      <c r="B184" t="s">
        <v>66</v>
      </c>
      <c r="C184">
        <v>1.8340692133651</v>
      </c>
    </row>
    <row r="185" spans="1:3">
      <c r="A185" s="4" t="s">
        <v>56</v>
      </c>
      <c r="B185" t="s">
        <v>66</v>
      </c>
      <c r="C185">
        <v>2.3822848680329001</v>
      </c>
    </row>
    <row r="186" spans="1:3">
      <c r="A186" s="4" t="s">
        <v>57</v>
      </c>
      <c r="B186" t="s">
        <v>66</v>
      </c>
      <c r="C186">
        <v>1.75381065943694</v>
      </c>
    </row>
    <row r="187" spans="1:3">
      <c r="A187" s="4" t="s">
        <v>58</v>
      </c>
      <c r="B187" t="s">
        <v>66</v>
      </c>
      <c r="C187">
        <v>0.43133563733851699</v>
      </c>
    </row>
    <row r="188" spans="1:3">
      <c r="A188" s="4" t="s">
        <v>59</v>
      </c>
      <c r="B188" t="s">
        <v>66</v>
      </c>
      <c r="C188">
        <v>1.8303749416664801</v>
      </c>
    </row>
    <row r="189" spans="1:3">
      <c r="A189" s="4" t="s">
        <v>60</v>
      </c>
      <c r="B189" t="s">
        <v>66</v>
      </c>
      <c r="C189">
        <v>1.6672868728482499</v>
      </c>
    </row>
    <row r="190" spans="1:3">
      <c r="A190" s="4" t="s">
        <v>14</v>
      </c>
      <c r="B190" t="s">
        <v>67</v>
      </c>
      <c r="C190">
        <v>0.71355686565172405</v>
      </c>
    </row>
    <row r="191" spans="1:3">
      <c r="A191" s="4" t="s">
        <v>15</v>
      </c>
      <c r="B191" t="s">
        <v>67</v>
      </c>
      <c r="C191">
        <v>0.58792311021854704</v>
      </c>
    </row>
    <row r="192" spans="1:3">
      <c r="A192" s="4" t="s">
        <v>16</v>
      </c>
      <c r="B192" t="s">
        <v>67</v>
      </c>
      <c r="C192">
        <v>0.328580182948704</v>
      </c>
    </row>
    <row r="193" spans="1:3">
      <c r="A193" s="4" t="s">
        <v>17</v>
      </c>
      <c r="B193" t="s">
        <v>67</v>
      </c>
      <c r="C193">
        <v>0.60654444010147601</v>
      </c>
    </row>
    <row r="194" spans="1:3">
      <c r="A194" s="4" t="s">
        <v>18</v>
      </c>
      <c r="B194" t="s">
        <v>67</v>
      </c>
      <c r="C194">
        <v>0.67842455015194902</v>
      </c>
    </row>
    <row r="195" spans="1:3">
      <c r="A195" s="4" t="s">
        <v>19</v>
      </c>
      <c r="B195" t="s">
        <v>67</v>
      </c>
      <c r="C195">
        <v>0.75603674430126999</v>
      </c>
    </row>
    <row r="196" spans="1:3">
      <c r="A196" s="4" t="s">
        <v>20</v>
      </c>
      <c r="B196" t="s">
        <v>67</v>
      </c>
      <c r="C196">
        <v>0.91067408539346995</v>
      </c>
    </row>
    <row r="197" spans="1:3">
      <c r="A197" s="4" t="s">
        <v>21</v>
      </c>
      <c r="B197" t="s">
        <v>67</v>
      </c>
      <c r="C197">
        <v>0.72454281298245904</v>
      </c>
    </row>
    <row r="198" spans="1:3">
      <c r="A198" s="4" t="s">
        <v>22</v>
      </c>
      <c r="B198" t="s">
        <v>67</v>
      </c>
      <c r="C198">
        <v>0.68609236369494098</v>
      </c>
    </row>
    <row r="199" spans="1:3">
      <c r="A199" s="4" t="s">
        <v>23</v>
      </c>
      <c r="B199" t="s">
        <v>67</v>
      </c>
      <c r="C199">
        <v>0.73856523219599701</v>
      </c>
    </row>
    <row r="200" spans="1:3">
      <c r="A200" s="4" t="s">
        <v>24</v>
      </c>
      <c r="B200" t="s">
        <v>67</v>
      </c>
      <c r="C200">
        <v>0.8028908329958</v>
      </c>
    </row>
    <row r="201" spans="1:3">
      <c r="A201" s="4" t="s">
        <v>25</v>
      </c>
      <c r="B201" t="s">
        <v>67</v>
      </c>
      <c r="C201">
        <v>0.92081248141842997</v>
      </c>
    </row>
    <row r="202" spans="1:3">
      <c r="A202" s="4" t="s">
        <v>26</v>
      </c>
      <c r="B202" t="s">
        <v>67</v>
      </c>
      <c r="C202">
        <v>0.705242207743078</v>
      </c>
    </row>
    <row r="203" spans="1:3">
      <c r="A203" s="4" t="s">
        <v>27</v>
      </c>
      <c r="B203" t="s">
        <v>67</v>
      </c>
      <c r="C203">
        <v>0.975475347883347</v>
      </c>
    </row>
    <row r="204" spans="1:3">
      <c r="A204" s="4" t="s">
        <v>28</v>
      </c>
      <c r="B204" t="s">
        <v>67</v>
      </c>
      <c r="C204">
        <v>0.84760299191404598</v>
      </c>
    </row>
    <row r="205" spans="1:3">
      <c r="A205" s="4" t="s">
        <v>29</v>
      </c>
      <c r="B205" t="s">
        <v>67</v>
      </c>
      <c r="C205">
        <v>0.55513300083452399</v>
      </c>
    </row>
    <row r="206" spans="1:3">
      <c r="A206" s="4" t="s">
        <v>30</v>
      </c>
      <c r="B206" t="s">
        <v>67</v>
      </c>
      <c r="C206">
        <v>0.64040310177908699</v>
      </c>
    </row>
    <row r="207" spans="1:3">
      <c r="A207" s="4" t="s">
        <v>31</v>
      </c>
      <c r="B207" t="s">
        <v>67</v>
      </c>
      <c r="C207">
        <v>0.87292612477013098</v>
      </c>
    </row>
    <row r="208" spans="1:3">
      <c r="A208" s="4" t="s">
        <v>32</v>
      </c>
      <c r="B208" t="s">
        <v>67</v>
      </c>
      <c r="C208">
        <v>0.98615029791146103</v>
      </c>
    </row>
    <row r="209" spans="1:3">
      <c r="A209" s="4" t="s">
        <v>33</v>
      </c>
      <c r="B209" t="s">
        <v>67</v>
      </c>
      <c r="C209">
        <v>0.85421745214544997</v>
      </c>
    </row>
    <row r="210" spans="1:3">
      <c r="A210" s="4" t="s">
        <v>34</v>
      </c>
      <c r="B210" t="s">
        <v>67</v>
      </c>
      <c r="C210">
        <v>0.89544024049058701</v>
      </c>
    </row>
    <row r="211" spans="1:3">
      <c r="A211" s="4" t="s">
        <v>35</v>
      </c>
      <c r="B211" t="s">
        <v>67</v>
      </c>
      <c r="C211">
        <v>0.81089978847645905</v>
      </c>
    </row>
    <row r="212" spans="1:3">
      <c r="A212" s="4" t="s">
        <v>36</v>
      </c>
      <c r="B212" t="s">
        <v>67</v>
      </c>
      <c r="C212">
        <v>0.98523953902662598</v>
      </c>
    </row>
    <row r="213" spans="1:3">
      <c r="A213" s="4" t="s">
        <v>37</v>
      </c>
      <c r="B213" t="s">
        <v>67</v>
      </c>
      <c r="C213">
        <v>0.88716643117245497</v>
      </c>
    </row>
    <row r="214" spans="1:3">
      <c r="A214" s="4" t="s">
        <v>38</v>
      </c>
      <c r="B214" t="s">
        <v>67</v>
      </c>
      <c r="C214">
        <v>0.87739046639161</v>
      </c>
    </row>
    <row r="215" spans="1:3">
      <c r="A215" s="4" t="s">
        <v>39</v>
      </c>
      <c r="B215" t="s">
        <v>67</v>
      </c>
      <c r="C215">
        <v>1.01832595376781</v>
      </c>
    </row>
    <row r="216" spans="1:3">
      <c r="A216" s="4" t="s">
        <v>40</v>
      </c>
      <c r="B216" t="s">
        <v>67</v>
      </c>
      <c r="C216">
        <v>0.85047039451524098</v>
      </c>
    </row>
    <row r="217" spans="1:3">
      <c r="A217" s="4" t="s">
        <v>41</v>
      </c>
      <c r="B217" t="s">
        <v>67</v>
      </c>
      <c r="C217">
        <v>0.73432408654046499</v>
      </c>
    </row>
    <row r="218" spans="1:3">
      <c r="A218" s="4" t="s">
        <v>42</v>
      </c>
      <c r="B218" t="s">
        <v>67</v>
      </c>
      <c r="C218">
        <v>0.73246617586381002</v>
      </c>
    </row>
    <row r="219" spans="1:3">
      <c r="A219" s="4" t="s">
        <v>43</v>
      </c>
      <c r="B219" t="s">
        <v>67</v>
      </c>
      <c r="C219">
        <v>0.67992810400607995</v>
      </c>
    </row>
    <row r="220" spans="1:3">
      <c r="A220" s="4" t="s">
        <v>44</v>
      </c>
      <c r="B220" t="s">
        <v>67</v>
      </c>
      <c r="C220">
        <v>0.63883779552647901</v>
      </c>
    </row>
    <row r="221" spans="1:3">
      <c r="A221" s="4" t="s">
        <v>45</v>
      </c>
      <c r="B221" t="s">
        <v>67</v>
      </c>
      <c r="C221">
        <v>0.73337822799730201</v>
      </c>
    </row>
    <row r="222" spans="1:3">
      <c r="A222" s="4" t="s">
        <v>46</v>
      </c>
      <c r="B222" t="s">
        <v>67</v>
      </c>
      <c r="C222">
        <v>0.69205090129233904</v>
      </c>
    </row>
    <row r="223" spans="1:3">
      <c r="A223" s="4" t="s">
        <v>47</v>
      </c>
      <c r="B223" t="s">
        <v>67</v>
      </c>
      <c r="C223">
        <v>0.58723823641297501</v>
      </c>
    </row>
    <row r="224" spans="1:3">
      <c r="A224" s="4" t="s">
        <v>48</v>
      </c>
      <c r="B224" t="s">
        <v>67</v>
      </c>
      <c r="C224">
        <v>0.68796969122509399</v>
      </c>
    </row>
    <row r="225" spans="1:3">
      <c r="A225" s="4" t="s">
        <v>49</v>
      </c>
      <c r="B225" t="s">
        <v>67</v>
      </c>
      <c r="C225">
        <v>0.27193064778419301</v>
      </c>
    </row>
    <row r="226" spans="1:3">
      <c r="A226" s="4" t="s">
        <v>50</v>
      </c>
      <c r="B226" t="s">
        <v>67</v>
      </c>
      <c r="C226">
        <v>0.124170865662136</v>
      </c>
    </row>
    <row r="227" spans="1:3">
      <c r="A227" s="4" t="s">
        <v>51</v>
      </c>
      <c r="B227" t="s">
        <v>67</v>
      </c>
      <c r="C227">
        <v>0.133269311206131</v>
      </c>
    </row>
    <row r="228" spans="1:3">
      <c r="A228" s="4" t="s">
        <v>52</v>
      </c>
      <c r="B228" t="s">
        <v>67</v>
      </c>
      <c r="C228">
        <v>0.199106427857551</v>
      </c>
    </row>
    <row r="229" spans="1:3">
      <c r="A229" s="4" t="s">
        <v>53</v>
      </c>
      <c r="B229" t="s">
        <v>67</v>
      </c>
      <c r="C229">
        <v>3.1203092333292499</v>
      </c>
    </row>
    <row r="230" spans="1:3">
      <c r="A230" s="4" t="s">
        <v>54</v>
      </c>
      <c r="B230" t="s">
        <v>67</v>
      </c>
      <c r="C230">
        <v>5.6311838292137697</v>
      </c>
    </row>
    <row r="231" spans="1:3">
      <c r="A231" s="4" t="s">
        <v>55</v>
      </c>
      <c r="B231" t="s">
        <v>67</v>
      </c>
      <c r="C231">
        <v>5.4083910071825603</v>
      </c>
    </row>
    <row r="232" spans="1:3">
      <c r="A232" s="4" t="s">
        <v>56</v>
      </c>
      <c r="B232" t="s">
        <v>67</v>
      </c>
      <c r="C232">
        <v>2.2085170592407199</v>
      </c>
    </row>
    <row r="233" spans="1:3">
      <c r="A233" s="4" t="s">
        <v>57</v>
      </c>
      <c r="B233" t="s">
        <v>67</v>
      </c>
      <c r="C233">
        <v>8.3376618424202604</v>
      </c>
    </row>
    <row r="234" spans="1:3">
      <c r="A234" s="4" t="s">
        <v>58</v>
      </c>
      <c r="B234" t="s">
        <v>67</v>
      </c>
      <c r="C234">
        <v>8.9286118925589193</v>
      </c>
    </row>
    <row r="235" spans="1:3">
      <c r="A235" s="4" t="s">
        <v>59</v>
      </c>
      <c r="B235" t="s">
        <v>67</v>
      </c>
      <c r="C235">
        <v>10.2150853106351</v>
      </c>
    </row>
    <row r="236" spans="1:3">
      <c r="A236" s="4" t="s">
        <v>60</v>
      </c>
      <c r="B236" t="s">
        <v>67</v>
      </c>
      <c r="C236">
        <v>10.493739938445</v>
      </c>
    </row>
    <row r="237" spans="1:3">
      <c r="A237" s="4" t="s">
        <v>14</v>
      </c>
      <c r="B237" t="s">
        <v>68</v>
      </c>
      <c r="C237">
        <v>4.5325490804445101</v>
      </c>
    </row>
    <row r="238" spans="1:3">
      <c r="A238" s="4" t="s">
        <v>15</v>
      </c>
      <c r="B238" t="s">
        <v>68</v>
      </c>
      <c r="C238">
        <v>5.2621937459619703</v>
      </c>
    </row>
    <row r="239" spans="1:3">
      <c r="A239" s="4" t="s">
        <v>16</v>
      </c>
      <c r="B239" t="s">
        <v>68</v>
      </c>
      <c r="C239">
        <v>5.0057769593871404</v>
      </c>
    </row>
    <row r="240" spans="1:3">
      <c r="A240" s="4" t="s">
        <v>17</v>
      </c>
      <c r="B240" t="s">
        <v>68</v>
      </c>
      <c r="C240">
        <v>4.8978359840532999</v>
      </c>
    </row>
    <row r="241" spans="1:3">
      <c r="A241" s="4" t="s">
        <v>18</v>
      </c>
      <c r="B241" t="s">
        <v>68</v>
      </c>
      <c r="C241">
        <v>4.8388991487435797</v>
      </c>
    </row>
    <row r="242" spans="1:3">
      <c r="A242" s="4" t="s">
        <v>19</v>
      </c>
      <c r="B242" t="s">
        <v>68</v>
      </c>
      <c r="C242">
        <v>4.4693030181856201</v>
      </c>
    </row>
    <row r="243" spans="1:3">
      <c r="A243" s="4" t="s">
        <v>20</v>
      </c>
      <c r="B243" t="s">
        <v>68</v>
      </c>
      <c r="C243">
        <v>5.3373195718776003</v>
      </c>
    </row>
    <row r="244" spans="1:3">
      <c r="A244" s="4" t="s">
        <v>21</v>
      </c>
      <c r="B244" t="s">
        <v>68</v>
      </c>
      <c r="C244">
        <v>5.2120312051895397</v>
      </c>
    </row>
    <row r="245" spans="1:3">
      <c r="A245" s="4" t="s">
        <v>22</v>
      </c>
      <c r="B245" t="s">
        <v>68</v>
      </c>
      <c r="C245">
        <v>4.9603436320793097</v>
      </c>
    </row>
    <row r="246" spans="1:3">
      <c r="A246" s="4" t="s">
        <v>23</v>
      </c>
      <c r="B246" t="s">
        <v>68</v>
      </c>
      <c r="C246">
        <v>4.8323697437981998</v>
      </c>
    </row>
    <row r="247" spans="1:3">
      <c r="A247" s="4" t="s">
        <v>24</v>
      </c>
      <c r="B247" t="s">
        <v>68</v>
      </c>
      <c r="C247">
        <v>4.34842307004444</v>
      </c>
    </row>
    <row r="248" spans="1:3">
      <c r="A248" s="4" t="s">
        <v>25</v>
      </c>
      <c r="B248" t="s">
        <v>68</v>
      </c>
      <c r="C248">
        <v>4.9251049841649701</v>
      </c>
    </row>
    <row r="249" spans="1:3">
      <c r="A249" s="4" t="s">
        <v>26</v>
      </c>
      <c r="B249" t="s">
        <v>68</v>
      </c>
      <c r="C249">
        <v>4.8904999348223699</v>
      </c>
    </row>
    <row r="250" spans="1:3">
      <c r="A250" s="4" t="s">
        <v>27</v>
      </c>
      <c r="B250" t="s">
        <v>68</v>
      </c>
      <c r="C250">
        <v>4.6506091111708701</v>
      </c>
    </row>
    <row r="251" spans="1:3">
      <c r="A251" s="4" t="s">
        <v>28</v>
      </c>
      <c r="B251" t="s">
        <v>68</v>
      </c>
      <c r="C251">
        <v>3.9419504091229101</v>
      </c>
    </row>
    <row r="252" spans="1:3">
      <c r="A252" s="4" t="s">
        <v>29</v>
      </c>
      <c r="B252" t="s">
        <v>68</v>
      </c>
      <c r="C252">
        <v>4.1064649335080903</v>
      </c>
    </row>
    <row r="253" spans="1:3">
      <c r="A253" s="4" t="s">
        <v>30</v>
      </c>
      <c r="B253" t="s">
        <v>68</v>
      </c>
      <c r="C253">
        <v>4.2413793996105902</v>
      </c>
    </row>
    <row r="254" spans="1:3">
      <c r="A254" s="4" t="s">
        <v>31</v>
      </c>
      <c r="B254" t="s">
        <v>68</v>
      </c>
      <c r="C254">
        <v>4.2384791060380804</v>
      </c>
    </row>
    <row r="255" spans="1:3">
      <c r="A255" s="4" t="s">
        <v>32</v>
      </c>
      <c r="B255" t="s">
        <v>68</v>
      </c>
      <c r="C255">
        <v>4.3439197880927898</v>
      </c>
    </row>
    <row r="256" spans="1:3">
      <c r="A256" s="4" t="s">
        <v>33</v>
      </c>
      <c r="B256" t="s">
        <v>68</v>
      </c>
      <c r="C256">
        <v>4.6383164795428904</v>
      </c>
    </row>
    <row r="257" spans="1:3">
      <c r="A257" s="4" t="s">
        <v>34</v>
      </c>
      <c r="B257" t="s">
        <v>68</v>
      </c>
      <c r="C257">
        <v>4.0911076827876904</v>
      </c>
    </row>
    <row r="258" spans="1:3">
      <c r="A258" s="4" t="s">
        <v>35</v>
      </c>
      <c r="B258" t="s">
        <v>68</v>
      </c>
      <c r="C258">
        <v>3.6087514432887802</v>
      </c>
    </row>
    <row r="259" spans="1:3">
      <c r="A259" s="4" t="s">
        <v>36</v>
      </c>
      <c r="B259" t="s">
        <v>68</v>
      </c>
      <c r="C259">
        <v>3.5218868927195599</v>
      </c>
    </row>
    <row r="260" spans="1:3">
      <c r="A260" s="4" t="s">
        <v>37</v>
      </c>
      <c r="B260" t="s">
        <v>68</v>
      </c>
      <c r="C260">
        <v>3.7173318205037602</v>
      </c>
    </row>
    <row r="261" spans="1:3">
      <c r="A261" s="4" t="s">
        <v>38</v>
      </c>
      <c r="B261" t="s">
        <v>68</v>
      </c>
      <c r="C261">
        <v>4.3297026602510504</v>
      </c>
    </row>
    <row r="262" spans="1:3">
      <c r="A262" s="4" t="s">
        <v>39</v>
      </c>
      <c r="B262" t="s">
        <v>68</v>
      </c>
      <c r="C262">
        <v>4.1904245031771499</v>
      </c>
    </row>
    <row r="263" spans="1:3">
      <c r="A263" s="4" t="s">
        <v>40</v>
      </c>
      <c r="B263" t="s">
        <v>68</v>
      </c>
      <c r="C263">
        <v>3.7416546468581302</v>
      </c>
    </row>
    <row r="264" spans="1:3">
      <c r="A264" s="4" t="s">
        <v>41</v>
      </c>
      <c r="B264" t="s">
        <v>68</v>
      </c>
      <c r="C264">
        <v>3.6370091691575999</v>
      </c>
    </row>
    <row r="265" spans="1:3">
      <c r="A265" s="4" t="s">
        <v>42</v>
      </c>
      <c r="B265" t="s">
        <v>68</v>
      </c>
      <c r="C265">
        <v>3.4884918316239601</v>
      </c>
    </row>
    <row r="266" spans="1:3">
      <c r="A266" s="4" t="s">
        <v>43</v>
      </c>
      <c r="B266" t="s">
        <v>68</v>
      </c>
      <c r="C266">
        <v>3.7003291906790898</v>
      </c>
    </row>
    <row r="267" spans="1:3">
      <c r="A267" s="4" t="s">
        <v>44</v>
      </c>
      <c r="B267" t="s">
        <v>68</v>
      </c>
      <c r="C267">
        <v>4.1255130284460497</v>
      </c>
    </row>
    <row r="268" spans="1:3">
      <c r="A268" s="4" t="s">
        <v>45</v>
      </c>
      <c r="B268" t="s">
        <v>68</v>
      </c>
      <c r="C268">
        <v>3.9671060812126102</v>
      </c>
    </row>
    <row r="269" spans="1:3">
      <c r="A269" s="4" t="s">
        <v>46</v>
      </c>
      <c r="B269" t="s">
        <v>68</v>
      </c>
      <c r="C269">
        <v>4.05069841959107</v>
      </c>
    </row>
    <row r="270" spans="1:3">
      <c r="A270" s="4" t="s">
        <v>47</v>
      </c>
      <c r="B270" t="s">
        <v>68</v>
      </c>
      <c r="C270">
        <v>3.6837923666311601</v>
      </c>
    </row>
    <row r="271" spans="1:3">
      <c r="A271" s="4" t="s">
        <v>48</v>
      </c>
      <c r="B271" t="s">
        <v>68</v>
      </c>
      <c r="C271">
        <v>3.3062627576310901</v>
      </c>
    </row>
    <row r="272" spans="1:3">
      <c r="A272" s="4" t="s">
        <v>49</v>
      </c>
      <c r="B272" t="s">
        <v>68</v>
      </c>
      <c r="C272">
        <v>3.7465309167544998</v>
      </c>
    </row>
    <row r="273" spans="1:3">
      <c r="A273" s="4" t="s">
        <v>50</v>
      </c>
      <c r="B273" t="s">
        <v>68</v>
      </c>
      <c r="C273">
        <v>3.5571260306730799</v>
      </c>
    </row>
    <row r="274" spans="1:3">
      <c r="A274" s="4" t="s">
        <v>51</v>
      </c>
      <c r="B274" t="s">
        <v>68</v>
      </c>
      <c r="C274">
        <v>3.2140264182834501</v>
      </c>
    </row>
    <row r="275" spans="1:3">
      <c r="A275" s="4" t="s">
        <v>52</v>
      </c>
      <c r="B275" t="s">
        <v>68</v>
      </c>
      <c r="C275">
        <v>3.4514264882588801</v>
      </c>
    </row>
    <row r="276" spans="1:3">
      <c r="A276" s="4" t="s">
        <v>53</v>
      </c>
      <c r="B276" t="s">
        <v>68</v>
      </c>
      <c r="C276">
        <v>4.8576231136076196</v>
      </c>
    </row>
    <row r="277" spans="1:3">
      <c r="A277" s="4" t="s">
        <v>54</v>
      </c>
      <c r="B277" t="s">
        <v>68</v>
      </c>
      <c r="C277">
        <v>7.0783444198536802</v>
      </c>
    </row>
    <row r="278" spans="1:3">
      <c r="A278" s="4" t="s">
        <v>55</v>
      </c>
      <c r="B278" t="s">
        <v>68</v>
      </c>
      <c r="C278">
        <v>9.3504469987951992</v>
      </c>
    </row>
    <row r="279" spans="1:3">
      <c r="A279" s="4" t="s">
        <v>56</v>
      </c>
      <c r="B279" t="s">
        <v>68</v>
      </c>
      <c r="C279">
        <v>9.3038461291395205</v>
      </c>
    </row>
    <row r="280" spans="1:3">
      <c r="A280" s="4" t="s">
        <v>57</v>
      </c>
      <c r="B280" t="s">
        <v>68</v>
      </c>
      <c r="C280">
        <v>10.087402830711399</v>
      </c>
    </row>
    <row r="281" spans="1:3">
      <c r="A281" s="4" t="s">
        <v>58</v>
      </c>
      <c r="B281" t="s">
        <v>68</v>
      </c>
      <c r="C281">
        <v>12.726155687899</v>
      </c>
    </row>
    <row r="282" spans="1:3">
      <c r="A282" s="4" t="s">
        <v>59</v>
      </c>
      <c r="B282" t="s">
        <v>68</v>
      </c>
      <c r="C282">
        <v>12.4298255547002</v>
      </c>
    </row>
    <row r="283" spans="1:3">
      <c r="A283" s="4" t="s">
        <v>60</v>
      </c>
      <c r="B283" t="s">
        <v>68</v>
      </c>
      <c r="C283">
        <v>12.344216870007299</v>
      </c>
    </row>
    <row r="284" spans="1:3">
      <c r="A284" s="4" t="s">
        <v>14</v>
      </c>
      <c r="B284" t="s">
        <v>69</v>
      </c>
      <c r="C284">
        <v>3.2170153202206699</v>
      </c>
    </row>
    <row r="285" spans="1:3">
      <c r="A285" s="4" t="s">
        <v>15</v>
      </c>
      <c r="B285" t="s">
        <v>69</v>
      </c>
      <c r="C285">
        <v>3.15047539962403</v>
      </c>
    </row>
    <row r="286" spans="1:3">
      <c r="A286" s="4" t="s">
        <v>16</v>
      </c>
      <c r="B286" t="s">
        <v>69</v>
      </c>
      <c r="C286">
        <v>2.86084347009308</v>
      </c>
    </row>
    <row r="287" spans="1:3">
      <c r="A287" s="4" t="s">
        <v>17</v>
      </c>
      <c r="B287" t="s">
        <v>69</v>
      </c>
      <c r="C287">
        <v>2.8933835667950198</v>
      </c>
    </row>
    <row r="288" spans="1:3">
      <c r="A288" s="4" t="s">
        <v>18</v>
      </c>
      <c r="B288" t="s">
        <v>69</v>
      </c>
      <c r="C288">
        <v>2.8614159311701801</v>
      </c>
    </row>
    <row r="289" spans="1:3">
      <c r="A289" s="4" t="s">
        <v>19</v>
      </c>
      <c r="B289" t="s">
        <v>69</v>
      </c>
      <c r="C289">
        <v>2.8335258204404301</v>
      </c>
    </row>
    <row r="290" spans="1:3">
      <c r="A290" s="4" t="s">
        <v>20</v>
      </c>
      <c r="B290" t="s">
        <v>69</v>
      </c>
      <c r="C290">
        <v>3.0255070601213299</v>
      </c>
    </row>
    <row r="291" spans="1:3">
      <c r="A291" s="4" t="s">
        <v>21</v>
      </c>
      <c r="B291" t="s">
        <v>69</v>
      </c>
      <c r="C291">
        <v>3.0753396395640999</v>
      </c>
    </row>
    <row r="292" spans="1:3">
      <c r="A292" s="4" t="s">
        <v>22</v>
      </c>
      <c r="B292" t="s">
        <v>69</v>
      </c>
      <c r="C292">
        <v>2.84667821911802</v>
      </c>
    </row>
    <row r="293" spans="1:3">
      <c r="A293" s="4" t="s">
        <v>23</v>
      </c>
      <c r="B293" t="s">
        <v>69</v>
      </c>
      <c r="C293">
        <v>2.7041994071371498</v>
      </c>
    </row>
    <row r="294" spans="1:3">
      <c r="A294" s="4" t="s">
        <v>24</v>
      </c>
      <c r="B294" t="s">
        <v>69</v>
      </c>
      <c r="C294">
        <v>2.5704352621015301</v>
      </c>
    </row>
    <row r="295" spans="1:3">
      <c r="A295" s="4" t="s">
        <v>25</v>
      </c>
      <c r="B295" t="s">
        <v>69</v>
      </c>
      <c r="C295">
        <v>2.5914748812869401</v>
      </c>
    </row>
    <row r="296" spans="1:3">
      <c r="A296" s="4" t="s">
        <v>26</v>
      </c>
      <c r="B296" t="s">
        <v>69</v>
      </c>
      <c r="C296">
        <v>2.6605735867607598</v>
      </c>
    </row>
    <row r="297" spans="1:3">
      <c r="A297" s="4" t="s">
        <v>27</v>
      </c>
      <c r="B297" t="s">
        <v>69</v>
      </c>
      <c r="C297">
        <v>2.5613124377946899</v>
      </c>
    </row>
    <row r="298" spans="1:3">
      <c r="A298" s="4" t="s">
        <v>28</v>
      </c>
      <c r="B298" t="s">
        <v>69</v>
      </c>
      <c r="C298">
        <v>2.2443395701569901</v>
      </c>
    </row>
    <row r="299" spans="1:3">
      <c r="A299" s="4" t="s">
        <v>29</v>
      </c>
      <c r="B299" t="s">
        <v>69</v>
      </c>
      <c r="C299">
        <v>2.4796205679699499</v>
      </c>
    </row>
    <row r="300" spans="1:3">
      <c r="A300" s="4" t="s">
        <v>30</v>
      </c>
      <c r="B300" t="s">
        <v>69</v>
      </c>
      <c r="C300">
        <v>2.4759551252015499</v>
      </c>
    </row>
    <row r="301" spans="1:3">
      <c r="A301" s="4" t="s">
        <v>31</v>
      </c>
      <c r="B301" t="s">
        <v>69</v>
      </c>
      <c r="C301">
        <v>2.4404407067149401</v>
      </c>
    </row>
    <row r="302" spans="1:3">
      <c r="A302" s="4" t="s">
        <v>32</v>
      </c>
      <c r="B302" t="s">
        <v>69</v>
      </c>
      <c r="C302">
        <v>2.55791575013949</v>
      </c>
    </row>
    <row r="303" spans="1:3">
      <c r="A303" s="4" t="s">
        <v>33</v>
      </c>
      <c r="B303" t="s">
        <v>69</v>
      </c>
      <c r="C303">
        <v>2.47609126206574</v>
      </c>
    </row>
    <row r="304" spans="1:3">
      <c r="A304" s="4" t="s">
        <v>34</v>
      </c>
      <c r="B304" t="s">
        <v>69</v>
      </c>
      <c r="C304">
        <v>2.4477459304869398</v>
      </c>
    </row>
    <row r="305" spans="1:3">
      <c r="A305" s="4" t="s">
        <v>35</v>
      </c>
      <c r="B305" t="s">
        <v>69</v>
      </c>
      <c r="C305">
        <v>2.3521737437508698</v>
      </c>
    </row>
    <row r="306" spans="1:3">
      <c r="A306" s="4" t="s">
        <v>36</v>
      </c>
      <c r="B306" t="s">
        <v>69</v>
      </c>
      <c r="C306">
        <v>2.2595879925496201</v>
      </c>
    </row>
    <row r="307" spans="1:3">
      <c r="A307" s="4" t="s">
        <v>37</v>
      </c>
      <c r="B307" t="s">
        <v>69</v>
      </c>
      <c r="C307">
        <v>2.4286690779104299</v>
      </c>
    </row>
    <row r="308" spans="1:3">
      <c r="A308" s="4" t="s">
        <v>38</v>
      </c>
      <c r="B308" t="s">
        <v>69</v>
      </c>
      <c r="C308">
        <v>2.5682715587231799</v>
      </c>
    </row>
    <row r="309" spans="1:3">
      <c r="A309" s="4" t="s">
        <v>39</v>
      </c>
      <c r="B309" t="s">
        <v>69</v>
      </c>
      <c r="C309">
        <v>2.5238318453822002</v>
      </c>
    </row>
    <row r="310" spans="1:3">
      <c r="A310" s="4" t="s">
        <v>40</v>
      </c>
      <c r="B310" t="s">
        <v>69</v>
      </c>
      <c r="C310">
        <v>2.2947842241791498</v>
      </c>
    </row>
    <row r="311" spans="1:3">
      <c r="A311" s="4" t="s">
        <v>41</v>
      </c>
      <c r="B311" t="s">
        <v>69</v>
      </c>
      <c r="C311">
        <v>2.2531043578762802</v>
      </c>
    </row>
    <row r="312" spans="1:3">
      <c r="A312" s="4" t="s">
        <v>42</v>
      </c>
      <c r="B312" t="s">
        <v>69</v>
      </c>
      <c r="C312">
        <v>2.3180340156733799</v>
      </c>
    </row>
    <row r="313" spans="1:3">
      <c r="A313" s="4" t="s">
        <v>43</v>
      </c>
      <c r="B313" t="s">
        <v>69</v>
      </c>
      <c r="C313">
        <v>2.4138491615675299</v>
      </c>
    </row>
    <row r="314" spans="1:3">
      <c r="A314" s="4" t="s">
        <v>44</v>
      </c>
      <c r="B314" t="s">
        <v>69</v>
      </c>
      <c r="C314">
        <v>2.56655781506575</v>
      </c>
    </row>
    <row r="315" spans="1:3">
      <c r="A315" s="4" t="s">
        <v>45</v>
      </c>
      <c r="B315" t="s">
        <v>69</v>
      </c>
      <c r="C315">
        <v>2.5867090974932698</v>
      </c>
    </row>
    <row r="316" spans="1:3">
      <c r="A316" s="4" t="s">
        <v>46</v>
      </c>
      <c r="B316" t="s">
        <v>69</v>
      </c>
      <c r="C316">
        <v>2.4745685384122602</v>
      </c>
    </row>
    <row r="317" spans="1:3">
      <c r="A317" s="4" t="s">
        <v>47</v>
      </c>
      <c r="B317" t="s">
        <v>69</v>
      </c>
      <c r="C317">
        <v>2.3918172542009501</v>
      </c>
    </row>
    <row r="318" spans="1:3">
      <c r="A318" s="4" t="s">
        <v>48</v>
      </c>
      <c r="B318" t="s">
        <v>69</v>
      </c>
      <c r="C318">
        <v>2.4003572330696801</v>
      </c>
    </row>
    <row r="319" spans="1:3">
      <c r="A319" s="4" t="s">
        <v>49</v>
      </c>
      <c r="B319" t="s">
        <v>69</v>
      </c>
      <c r="C319">
        <v>2.3985092931158198</v>
      </c>
    </row>
    <row r="320" spans="1:3">
      <c r="A320" s="4" t="s">
        <v>50</v>
      </c>
      <c r="B320" t="s">
        <v>69</v>
      </c>
      <c r="C320">
        <v>2.28230077562724</v>
      </c>
    </row>
    <row r="321" spans="1:3">
      <c r="A321" s="4" t="s">
        <v>51</v>
      </c>
      <c r="B321" t="s">
        <v>69</v>
      </c>
      <c r="C321">
        <v>2.3909338155921902</v>
      </c>
    </row>
    <row r="322" spans="1:3">
      <c r="A322" s="4" t="s">
        <v>52</v>
      </c>
      <c r="B322" t="s">
        <v>69</v>
      </c>
      <c r="C322">
        <v>3.9471866106982398</v>
      </c>
    </row>
    <row r="323" spans="1:3">
      <c r="A323" s="4" t="s">
        <v>53</v>
      </c>
      <c r="B323" t="s">
        <v>69</v>
      </c>
      <c r="C323">
        <v>7.3588089516894701</v>
      </c>
    </row>
    <row r="324" spans="1:3">
      <c r="A324" s="4" t="s">
        <v>54</v>
      </c>
      <c r="B324" t="s">
        <v>69</v>
      </c>
      <c r="C324">
        <v>9.2222468758913099</v>
      </c>
    </row>
    <row r="325" spans="1:3">
      <c r="A325" s="4" t="s">
        <v>55</v>
      </c>
      <c r="B325" t="s">
        <v>69</v>
      </c>
      <c r="C325">
        <v>9.5453731906289701</v>
      </c>
    </row>
    <row r="326" spans="1:3">
      <c r="A326" s="4" t="s">
        <v>56</v>
      </c>
      <c r="B326" t="s">
        <v>69</v>
      </c>
      <c r="C326">
        <v>10.1570021313099</v>
      </c>
    </row>
    <row r="327" spans="1:3">
      <c r="A327" s="4" t="s">
        <v>57</v>
      </c>
      <c r="B327" t="s">
        <v>69</v>
      </c>
      <c r="C327">
        <v>11.0245368660634</v>
      </c>
    </row>
    <row r="328" spans="1:3">
      <c r="A328" s="4" t="s">
        <v>58</v>
      </c>
      <c r="B328" t="s">
        <v>69</v>
      </c>
      <c r="C328">
        <v>11.1126966908186</v>
      </c>
    </row>
    <row r="329" spans="1:3">
      <c r="A329" s="4" t="s">
        <v>59</v>
      </c>
      <c r="B329" t="s">
        <v>69</v>
      </c>
      <c r="C329">
        <v>11.3840423031501</v>
      </c>
    </row>
    <row r="330" spans="1:3">
      <c r="A330" s="4" t="s">
        <v>60</v>
      </c>
      <c r="B330" t="s">
        <v>69</v>
      </c>
      <c r="C330">
        <v>10.4775587602185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83"/>
  <sheetViews>
    <sheetView workbookViewId="0"/>
  </sheetViews>
  <sheetFormatPr defaultColWidth="11.42578125" defaultRowHeight="15"/>
  <cols>
    <col min="1" max="1" width="8.7109375" customWidth="1"/>
    <col min="2" max="2" width="18.7109375" customWidth="1"/>
    <col min="3" max="3" width="14.7109375" customWidth="1"/>
  </cols>
  <sheetData>
    <row r="1" spans="1:3" ht="30" customHeight="1">
      <c r="A1" s="5" t="s">
        <v>11</v>
      </c>
      <c r="B1" s="5" t="s">
        <v>70</v>
      </c>
      <c r="C1" s="5" t="s">
        <v>62</v>
      </c>
    </row>
    <row r="2" spans="1:3">
      <c r="A2" s="4" t="s">
        <v>14</v>
      </c>
      <c r="B2" t="s">
        <v>71</v>
      </c>
      <c r="C2">
        <v>0.92671966589867305</v>
      </c>
    </row>
    <row r="3" spans="1:3">
      <c r="A3" s="4" t="s">
        <v>14</v>
      </c>
      <c r="B3" t="s">
        <v>72</v>
      </c>
      <c r="C3">
        <v>6.4542964285078099</v>
      </c>
    </row>
    <row r="4" spans="1:3">
      <c r="A4" s="4" t="s">
        <v>14</v>
      </c>
      <c r="B4" t="s">
        <v>73</v>
      </c>
      <c r="C4">
        <v>2.80285308322923</v>
      </c>
    </row>
    <row r="5" spans="1:3">
      <c r="A5" s="4" t="s">
        <v>14</v>
      </c>
      <c r="B5" t="s">
        <v>74</v>
      </c>
      <c r="C5">
        <v>1.0500110830081399</v>
      </c>
    </row>
    <row r="6" spans="1:3">
      <c r="A6" s="4" t="s">
        <v>14</v>
      </c>
      <c r="B6" t="s">
        <v>75</v>
      </c>
      <c r="C6">
        <v>1.34315096044475</v>
      </c>
    </row>
    <row r="7" spans="1:3">
      <c r="A7" s="4" t="s">
        <v>14</v>
      </c>
      <c r="B7" t="s">
        <v>69</v>
      </c>
      <c r="C7">
        <v>3.2170153202206699</v>
      </c>
    </row>
    <row r="8" spans="1:3">
      <c r="A8" s="4" t="s">
        <v>15</v>
      </c>
      <c r="B8" t="s">
        <v>72</v>
      </c>
      <c r="C8">
        <v>6.1883203944316403</v>
      </c>
    </row>
    <row r="9" spans="1:3">
      <c r="A9" s="4" t="s">
        <v>15</v>
      </c>
      <c r="B9" t="s">
        <v>71</v>
      </c>
      <c r="C9">
        <v>0.94890448875878097</v>
      </c>
    </row>
    <row r="10" spans="1:3">
      <c r="A10" s="4" t="s">
        <v>15</v>
      </c>
      <c r="B10" t="s">
        <v>73</v>
      </c>
      <c r="C10">
        <v>2.8159375315394901</v>
      </c>
    </row>
    <row r="11" spans="1:3">
      <c r="A11" s="4" t="s">
        <v>15</v>
      </c>
      <c r="B11" t="s">
        <v>74</v>
      </c>
      <c r="C11">
        <v>0.84875209027780396</v>
      </c>
    </row>
    <row r="12" spans="1:3">
      <c r="A12" s="4" t="s">
        <v>15</v>
      </c>
      <c r="B12" t="s">
        <v>75</v>
      </c>
      <c r="C12">
        <v>1.50310199746466</v>
      </c>
    </row>
    <row r="13" spans="1:3">
      <c r="A13" s="4" t="s">
        <v>15</v>
      </c>
      <c r="B13" t="s">
        <v>69</v>
      </c>
      <c r="C13">
        <v>3.15047539962403</v>
      </c>
    </row>
    <row r="14" spans="1:3">
      <c r="A14" s="4" t="s">
        <v>16</v>
      </c>
      <c r="B14" t="s">
        <v>71</v>
      </c>
      <c r="C14">
        <v>0.84959040594533697</v>
      </c>
    </row>
    <row r="15" spans="1:3">
      <c r="A15" s="4" t="s">
        <v>16</v>
      </c>
      <c r="B15" t="s">
        <v>72</v>
      </c>
      <c r="C15">
        <v>5.9053024951321804</v>
      </c>
    </row>
    <row r="16" spans="1:3">
      <c r="A16" s="4" t="s">
        <v>16</v>
      </c>
      <c r="B16" t="s">
        <v>73</v>
      </c>
      <c r="C16">
        <v>2.5302257255879699</v>
      </c>
    </row>
    <row r="17" spans="1:3">
      <c r="A17" s="4" t="s">
        <v>16</v>
      </c>
      <c r="B17" t="s">
        <v>74</v>
      </c>
      <c r="C17">
        <v>0.85583484900248796</v>
      </c>
    </row>
    <row r="18" spans="1:3">
      <c r="A18" s="4" t="s">
        <v>16</v>
      </c>
      <c r="B18" t="s">
        <v>75</v>
      </c>
      <c r="C18">
        <v>1.4544130309640799</v>
      </c>
    </row>
    <row r="19" spans="1:3">
      <c r="A19" s="4" t="s">
        <v>16</v>
      </c>
      <c r="B19" t="s">
        <v>69</v>
      </c>
      <c r="C19">
        <v>2.86084347009308</v>
      </c>
    </row>
    <row r="20" spans="1:3">
      <c r="A20" s="4" t="s">
        <v>17</v>
      </c>
      <c r="B20" t="s">
        <v>71</v>
      </c>
      <c r="C20">
        <v>1.01667570480217</v>
      </c>
    </row>
    <row r="21" spans="1:3">
      <c r="A21" s="4" t="s">
        <v>17</v>
      </c>
      <c r="B21" t="s">
        <v>72</v>
      </c>
      <c r="C21">
        <v>5.67046082872778</v>
      </c>
    </row>
    <row r="22" spans="1:3">
      <c r="A22" s="4" t="s">
        <v>17</v>
      </c>
      <c r="B22" t="s">
        <v>73</v>
      </c>
      <c r="C22">
        <v>2.6975422754734999</v>
      </c>
    </row>
    <row r="23" spans="1:3">
      <c r="A23" s="4" t="s">
        <v>17</v>
      </c>
      <c r="B23" t="s">
        <v>74</v>
      </c>
      <c r="C23">
        <v>0.85809636326080296</v>
      </c>
    </row>
    <row r="24" spans="1:3">
      <c r="A24" s="4" t="s">
        <v>17</v>
      </c>
      <c r="B24" t="s">
        <v>75</v>
      </c>
      <c r="C24">
        <v>1.1617349376833901</v>
      </c>
    </row>
    <row r="25" spans="1:3">
      <c r="A25" s="4" t="s">
        <v>17</v>
      </c>
      <c r="B25" t="s">
        <v>69</v>
      </c>
      <c r="C25">
        <v>2.8933835667950198</v>
      </c>
    </row>
    <row r="26" spans="1:3">
      <c r="A26" s="4" t="s">
        <v>18</v>
      </c>
      <c r="B26" t="s">
        <v>71</v>
      </c>
      <c r="C26">
        <v>0.83294193162780605</v>
      </c>
    </row>
    <row r="27" spans="1:3">
      <c r="A27" s="4" t="s">
        <v>18</v>
      </c>
      <c r="B27" t="s">
        <v>72</v>
      </c>
      <c r="C27">
        <v>5.3550366826439797</v>
      </c>
    </row>
    <row r="28" spans="1:3">
      <c r="A28" s="4" t="s">
        <v>18</v>
      </c>
      <c r="B28" t="s">
        <v>73</v>
      </c>
      <c r="C28">
        <v>2.8064733770043899</v>
      </c>
    </row>
    <row r="29" spans="1:3">
      <c r="A29" s="4" t="s">
        <v>18</v>
      </c>
      <c r="B29" t="s">
        <v>74</v>
      </c>
      <c r="C29">
        <v>0.82259649725820305</v>
      </c>
    </row>
    <row r="30" spans="1:3">
      <c r="A30" s="4" t="s">
        <v>18</v>
      </c>
      <c r="B30" t="s">
        <v>75</v>
      </c>
      <c r="C30">
        <v>1.2118829828832101</v>
      </c>
    </row>
    <row r="31" spans="1:3">
      <c r="A31" s="4" t="s">
        <v>18</v>
      </c>
      <c r="B31" t="s">
        <v>69</v>
      </c>
      <c r="C31">
        <v>2.8614159311701801</v>
      </c>
    </row>
    <row r="32" spans="1:3">
      <c r="A32" s="4" t="s">
        <v>19</v>
      </c>
      <c r="B32" t="s">
        <v>71</v>
      </c>
      <c r="C32">
        <v>0.80689705965387104</v>
      </c>
    </row>
    <row r="33" spans="1:3">
      <c r="A33" s="4" t="s">
        <v>19</v>
      </c>
      <c r="B33" t="s">
        <v>72</v>
      </c>
      <c r="C33">
        <v>5.5126450895339101</v>
      </c>
    </row>
    <row r="34" spans="1:3">
      <c r="A34" s="4" t="s">
        <v>19</v>
      </c>
      <c r="B34" t="s">
        <v>74</v>
      </c>
      <c r="C34">
        <v>0.88053215308119703</v>
      </c>
    </row>
    <row r="35" spans="1:3">
      <c r="A35" s="4" t="s">
        <v>19</v>
      </c>
      <c r="B35" t="s">
        <v>73</v>
      </c>
      <c r="C35">
        <v>2.5694774525458302</v>
      </c>
    </row>
    <row r="36" spans="1:3">
      <c r="A36" s="4" t="s">
        <v>19</v>
      </c>
      <c r="B36" t="s">
        <v>75</v>
      </c>
      <c r="C36">
        <v>1.28534039458461</v>
      </c>
    </row>
    <row r="37" spans="1:3">
      <c r="A37" s="4" t="s">
        <v>19</v>
      </c>
      <c r="B37" t="s">
        <v>69</v>
      </c>
      <c r="C37">
        <v>2.8335258204404301</v>
      </c>
    </row>
    <row r="38" spans="1:3">
      <c r="A38" s="4" t="s">
        <v>20</v>
      </c>
      <c r="B38" t="s">
        <v>73</v>
      </c>
      <c r="C38">
        <v>2.66617357402796</v>
      </c>
    </row>
    <row r="39" spans="1:3">
      <c r="A39" s="4" t="s">
        <v>20</v>
      </c>
      <c r="B39" t="s">
        <v>71</v>
      </c>
      <c r="C39">
        <v>1.2211664182990001</v>
      </c>
    </row>
    <row r="40" spans="1:3">
      <c r="A40" s="4" t="s">
        <v>20</v>
      </c>
      <c r="B40" t="s">
        <v>72</v>
      </c>
      <c r="C40">
        <v>5.38964528503812</v>
      </c>
    </row>
    <row r="41" spans="1:3">
      <c r="A41" s="4" t="s">
        <v>20</v>
      </c>
      <c r="B41" t="s">
        <v>74</v>
      </c>
      <c r="C41">
        <v>0.95812153702614899</v>
      </c>
    </row>
    <row r="42" spans="1:3">
      <c r="A42" s="4" t="s">
        <v>20</v>
      </c>
      <c r="B42" t="s">
        <v>75</v>
      </c>
      <c r="C42">
        <v>1.4011128764985801</v>
      </c>
    </row>
    <row r="43" spans="1:3">
      <c r="A43" s="4" t="s">
        <v>20</v>
      </c>
      <c r="B43" t="s">
        <v>69</v>
      </c>
      <c r="C43">
        <v>3.0255070601213299</v>
      </c>
    </row>
    <row r="44" spans="1:3">
      <c r="A44" s="4" t="s">
        <v>21</v>
      </c>
      <c r="B44" t="s">
        <v>71</v>
      </c>
      <c r="C44">
        <v>0.94752467645860305</v>
      </c>
    </row>
    <row r="45" spans="1:3">
      <c r="A45" s="4" t="s">
        <v>21</v>
      </c>
      <c r="B45" t="s">
        <v>72</v>
      </c>
      <c r="C45">
        <v>5.6026655485270602</v>
      </c>
    </row>
    <row r="46" spans="1:3">
      <c r="A46" s="4" t="s">
        <v>21</v>
      </c>
      <c r="B46" t="s">
        <v>73</v>
      </c>
      <c r="C46">
        <v>2.8247240786986301</v>
      </c>
    </row>
    <row r="47" spans="1:3">
      <c r="A47" s="4" t="s">
        <v>21</v>
      </c>
      <c r="B47" t="s">
        <v>74</v>
      </c>
      <c r="C47">
        <v>0.98661787518407695</v>
      </c>
    </row>
    <row r="48" spans="1:3">
      <c r="A48" s="4" t="s">
        <v>21</v>
      </c>
      <c r="B48" t="s">
        <v>75</v>
      </c>
      <c r="C48">
        <v>1.4187742324389401</v>
      </c>
    </row>
    <row r="49" spans="1:3">
      <c r="A49" s="4" t="s">
        <v>21</v>
      </c>
      <c r="B49" t="s">
        <v>69</v>
      </c>
      <c r="C49">
        <v>3.0753396395640999</v>
      </c>
    </row>
    <row r="50" spans="1:3">
      <c r="A50" s="4" t="s">
        <v>22</v>
      </c>
      <c r="B50" t="s">
        <v>71</v>
      </c>
      <c r="C50">
        <v>0.80242340462366102</v>
      </c>
    </row>
    <row r="51" spans="1:3">
      <c r="A51" s="4" t="s">
        <v>22</v>
      </c>
      <c r="B51" t="s">
        <v>72</v>
      </c>
      <c r="C51">
        <v>5.5256386908197204</v>
      </c>
    </row>
    <row r="52" spans="1:3">
      <c r="A52" s="4" t="s">
        <v>22</v>
      </c>
      <c r="B52" t="s">
        <v>73</v>
      </c>
      <c r="C52">
        <v>2.64935432248009</v>
      </c>
    </row>
    <row r="53" spans="1:3">
      <c r="A53" s="4" t="s">
        <v>22</v>
      </c>
      <c r="B53" t="s">
        <v>74</v>
      </c>
      <c r="C53">
        <v>0.81693321932021101</v>
      </c>
    </row>
    <row r="54" spans="1:3">
      <c r="A54" s="4" t="s">
        <v>22</v>
      </c>
      <c r="B54" t="s">
        <v>75</v>
      </c>
      <c r="C54">
        <v>1.3636897599298199</v>
      </c>
    </row>
    <row r="55" spans="1:3">
      <c r="A55" s="4" t="s">
        <v>22</v>
      </c>
      <c r="B55" t="s">
        <v>69</v>
      </c>
      <c r="C55">
        <v>2.84667821911802</v>
      </c>
    </row>
    <row r="56" spans="1:3">
      <c r="A56" s="4" t="s">
        <v>23</v>
      </c>
      <c r="B56" t="s">
        <v>71</v>
      </c>
      <c r="C56">
        <v>0.80830104341814502</v>
      </c>
    </row>
    <row r="57" spans="1:3">
      <c r="A57" s="4" t="s">
        <v>23</v>
      </c>
      <c r="B57" t="s">
        <v>72</v>
      </c>
      <c r="C57">
        <v>5.0624921459656598</v>
      </c>
    </row>
    <row r="58" spans="1:3">
      <c r="A58" s="4" t="s">
        <v>23</v>
      </c>
      <c r="B58" t="s">
        <v>73</v>
      </c>
      <c r="C58">
        <v>2.5597936788037599</v>
      </c>
    </row>
    <row r="59" spans="1:3">
      <c r="A59" s="4" t="s">
        <v>23</v>
      </c>
      <c r="B59" t="s">
        <v>74</v>
      </c>
      <c r="C59">
        <v>0.86108298605695599</v>
      </c>
    </row>
    <row r="60" spans="1:3">
      <c r="A60" s="4" t="s">
        <v>23</v>
      </c>
      <c r="B60" t="s">
        <v>75</v>
      </c>
      <c r="C60">
        <v>1.48653322956061</v>
      </c>
    </row>
    <row r="61" spans="1:3">
      <c r="A61" s="4" t="s">
        <v>23</v>
      </c>
      <c r="B61" t="s">
        <v>69</v>
      </c>
      <c r="C61">
        <v>2.7041994071371498</v>
      </c>
    </row>
    <row r="62" spans="1:3">
      <c r="A62" s="4" t="s">
        <v>24</v>
      </c>
      <c r="B62" t="s">
        <v>71</v>
      </c>
      <c r="C62">
        <v>0.74146994381735598</v>
      </c>
    </row>
    <row r="63" spans="1:3">
      <c r="A63" s="4" t="s">
        <v>24</v>
      </c>
      <c r="B63" t="s">
        <v>73</v>
      </c>
      <c r="C63">
        <v>2.5608993825270301</v>
      </c>
    </row>
    <row r="64" spans="1:3">
      <c r="A64" s="4" t="s">
        <v>24</v>
      </c>
      <c r="B64" t="s">
        <v>72</v>
      </c>
      <c r="C64">
        <v>5.1888970597720396</v>
      </c>
    </row>
    <row r="65" spans="1:3">
      <c r="A65" s="4" t="s">
        <v>24</v>
      </c>
      <c r="B65" t="s">
        <v>74</v>
      </c>
      <c r="C65">
        <v>0.93953128862953394</v>
      </c>
    </row>
    <row r="66" spans="1:3">
      <c r="A66" s="4" t="s">
        <v>24</v>
      </c>
      <c r="B66" t="s">
        <v>75</v>
      </c>
      <c r="C66">
        <v>1.39583911459244</v>
      </c>
    </row>
    <row r="67" spans="1:3">
      <c r="A67" s="4" t="s">
        <v>24</v>
      </c>
      <c r="B67" t="s">
        <v>69</v>
      </c>
      <c r="C67">
        <v>2.5704352621015301</v>
      </c>
    </row>
    <row r="68" spans="1:3">
      <c r="A68" s="4" t="s">
        <v>25</v>
      </c>
      <c r="B68" t="s">
        <v>71</v>
      </c>
      <c r="C68">
        <v>0.73777188389963899</v>
      </c>
    </row>
    <row r="69" spans="1:3">
      <c r="A69" s="4" t="s">
        <v>25</v>
      </c>
      <c r="B69" t="s">
        <v>72</v>
      </c>
      <c r="C69">
        <v>5.1533576548121403</v>
      </c>
    </row>
    <row r="70" spans="1:3">
      <c r="A70" s="4" t="s">
        <v>25</v>
      </c>
      <c r="B70" t="s">
        <v>73</v>
      </c>
      <c r="C70">
        <v>2.6158760112423098</v>
      </c>
    </row>
    <row r="71" spans="1:3">
      <c r="A71" s="4" t="s">
        <v>25</v>
      </c>
      <c r="B71" t="s">
        <v>74</v>
      </c>
      <c r="C71">
        <v>0.82196184172192299</v>
      </c>
    </row>
    <row r="72" spans="1:3">
      <c r="A72" s="4" t="s">
        <v>25</v>
      </c>
      <c r="B72" t="s">
        <v>75</v>
      </c>
      <c r="C72">
        <v>1.67931144700711</v>
      </c>
    </row>
    <row r="73" spans="1:3">
      <c r="A73" s="4" t="s">
        <v>25</v>
      </c>
      <c r="B73" t="s">
        <v>69</v>
      </c>
      <c r="C73">
        <v>2.5914748812869401</v>
      </c>
    </row>
    <row r="74" spans="1:3">
      <c r="A74" s="4" t="s">
        <v>26</v>
      </c>
      <c r="B74" t="s">
        <v>72</v>
      </c>
      <c r="C74">
        <v>4.70469229565124</v>
      </c>
    </row>
    <row r="75" spans="1:3">
      <c r="A75" s="4" t="s">
        <v>26</v>
      </c>
      <c r="B75" t="s">
        <v>71</v>
      </c>
      <c r="C75">
        <v>0.66250884668673604</v>
      </c>
    </row>
    <row r="76" spans="1:3">
      <c r="A76" s="4" t="s">
        <v>26</v>
      </c>
      <c r="B76" t="s">
        <v>73</v>
      </c>
      <c r="C76">
        <v>2.9438142217806198</v>
      </c>
    </row>
    <row r="77" spans="1:3">
      <c r="A77" s="4" t="s">
        <v>26</v>
      </c>
      <c r="B77" t="s">
        <v>74</v>
      </c>
      <c r="C77">
        <v>0.853237677722257</v>
      </c>
    </row>
    <row r="78" spans="1:3">
      <c r="A78" s="4" t="s">
        <v>26</v>
      </c>
      <c r="B78" t="s">
        <v>75</v>
      </c>
      <c r="C78">
        <v>1.30649946680429</v>
      </c>
    </row>
    <row r="79" spans="1:3">
      <c r="A79" s="4" t="s">
        <v>26</v>
      </c>
      <c r="B79" t="s">
        <v>69</v>
      </c>
      <c r="C79">
        <v>2.6605735867607598</v>
      </c>
    </row>
    <row r="80" spans="1:3">
      <c r="A80" s="4" t="s">
        <v>27</v>
      </c>
      <c r="B80" t="s">
        <v>74</v>
      </c>
      <c r="C80">
        <v>0.97336127158126795</v>
      </c>
    </row>
    <row r="81" spans="1:3">
      <c r="A81" s="4" t="s">
        <v>27</v>
      </c>
      <c r="B81" t="s">
        <v>71</v>
      </c>
      <c r="C81">
        <v>0.66796170763911999</v>
      </c>
    </row>
    <row r="82" spans="1:3">
      <c r="A82" s="4" t="s">
        <v>27</v>
      </c>
      <c r="B82" t="s">
        <v>72</v>
      </c>
      <c r="C82">
        <v>4.7053321298634598</v>
      </c>
    </row>
    <row r="83" spans="1:3">
      <c r="A83" s="4" t="s">
        <v>27</v>
      </c>
      <c r="B83" t="s">
        <v>73</v>
      </c>
      <c r="C83">
        <v>2.6722900893099499</v>
      </c>
    </row>
    <row r="84" spans="1:3">
      <c r="A84" s="4" t="s">
        <v>27</v>
      </c>
      <c r="B84" t="s">
        <v>75</v>
      </c>
      <c r="C84">
        <v>1.39505320250779</v>
      </c>
    </row>
    <row r="85" spans="1:3">
      <c r="A85" s="4" t="s">
        <v>27</v>
      </c>
      <c r="B85" t="s">
        <v>69</v>
      </c>
      <c r="C85">
        <v>2.5613124377946899</v>
      </c>
    </row>
    <row r="86" spans="1:3">
      <c r="A86" s="4" t="s">
        <v>28</v>
      </c>
      <c r="B86" t="s">
        <v>73</v>
      </c>
      <c r="C86">
        <v>2.4227053907223102</v>
      </c>
    </row>
    <row r="87" spans="1:3">
      <c r="A87" s="4" t="s">
        <v>28</v>
      </c>
      <c r="B87" t="s">
        <v>71</v>
      </c>
      <c r="C87">
        <v>0.57980555325461702</v>
      </c>
    </row>
    <row r="88" spans="1:3">
      <c r="A88" s="4" t="s">
        <v>28</v>
      </c>
      <c r="B88" t="s">
        <v>72</v>
      </c>
      <c r="C88">
        <v>4.2593348587930198</v>
      </c>
    </row>
    <row r="89" spans="1:3">
      <c r="A89" s="4" t="s">
        <v>28</v>
      </c>
      <c r="B89" t="s">
        <v>74</v>
      </c>
      <c r="C89">
        <v>0.81498098759451898</v>
      </c>
    </row>
    <row r="90" spans="1:3">
      <c r="A90" s="4" t="s">
        <v>28</v>
      </c>
      <c r="B90" t="s">
        <v>75</v>
      </c>
      <c r="C90">
        <v>1.3937206772235899</v>
      </c>
    </row>
    <row r="91" spans="1:3">
      <c r="A91" s="4" t="s">
        <v>28</v>
      </c>
      <c r="B91" t="s">
        <v>69</v>
      </c>
      <c r="C91">
        <v>2.2443395701569901</v>
      </c>
    </row>
    <row r="92" spans="1:3">
      <c r="A92" s="4" t="s">
        <v>29</v>
      </c>
      <c r="B92" t="s">
        <v>71</v>
      </c>
      <c r="C92">
        <v>0.72376341194573801</v>
      </c>
    </row>
    <row r="93" spans="1:3">
      <c r="A93" s="4" t="s">
        <v>29</v>
      </c>
      <c r="B93" t="s">
        <v>73</v>
      </c>
      <c r="C93">
        <v>2.6329797159057802</v>
      </c>
    </row>
    <row r="94" spans="1:3">
      <c r="A94" s="4" t="s">
        <v>29</v>
      </c>
      <c r="B94" t="s">
        <v>72</v>
      </c>
      <c r="C94">
        <v>4.4430586178939704</v>
      </c>
    </row>
    <row r="95" spans="1:3">
      <c r="A95" s="4" t="s">
        <v>29</v>
      </c>
      <c r="B95" t="s">
        <v>74</v>
      </c>
      <c r="C95">
        <v>0.89988722047246095</v>
      </c>
    </row>
    <row r="96" spans="1:3">
      <c r="A96" s="4" t="s">
        <v>29</v>
      </c>
      <c r="B96" t="s">
        <v>75</v>
      </c>
      <c r="C96">
        <v>1.16733527456813</v>
      </c>
    </row>
    <row r="97" spans="1:3">
      <c r="A97" s="4" t="s">
        <v>29</v>
      </c>
      <c r="B97" t="s">
        <v>69</v>
      </c>
      <c r="C97">
        <v>2.4796205679699499</v>
      </c>
    </row>
    <row r="98" spans="1:3">
      <c r="A98" s="4" t="s">
        <v>30</v>
      </c>
      <c r="B98" t="s">
        <v>71</v>
      </c>
      <c r="C98">
        <v>0.62860662279011204</v>
      </c>
    </row>
    <row r="99" spans="1:3">
      <c r="A99" s="4" t="s">
        <v>30</v>
      </c>
      <c r="B99" t="s">
        <v>73</v>
      </c>
      <c r="C99">
        <v>2.53563275456544</v>
      </c>
    </row>
    <row r="100" spans="1:3">
      <c r="A100" s="4" t="s">
        <v>30</v>
      </c>
      <c r="B100" t="s">
        <v>72</v>
      </c>
      <c r="C100">
        <v>4.4561710195485196</v>
      </c>
    </row>
    <row r="101" spans="1:3">
      <c r="A101" s="4" t="s">
        <v>30</v>
      </c>
      <c r="B101" t="s">
        <v>74</v>
      </c>
      <c r="C101">
        <v>0.86356271011931496</v>
      </c>
    </row>
    <row r="102" spans="1:3">
      <c r="A102" s="4" t="s">
        <v>30</v>
      </c>
      <c r="B102" t="s">
        <v>75</v>
      </c>
      <c r="C102">
        <v>1.29393456758975</v>
      </c>
    </row>
    <row r="103" spans="1:3">
      <c r="A103" s="4" t="s">
        <v>30</v>
      </c>
      <c r="B103" t="s">
        <v>69</v>
      </c>
      <c r="C103">
        <v>2.4759551252015499</v>
      </c>
    </row>
    <row r="104" spans="1:3">
      <c r="A104" s="4" t="s">
        <v>31</v>
      </c>
      <c r="B104" t="s">
        <v>71</v>
      </c>
      <c r="C104">
        <v>0.53369750409438299</v>
      </c>
    </row>
    <row r="105" spans="1:3">
      <c r="A105" s="4" t="s">
        <v>31</v>
      </c>
      <c r="B105" t="s">
        <v>73</v>
      </c>
      <c r="C105">
        <v>2.4375370631076998</v>
      </c>
    </row>
    <row r="106" spans="1:3">
      <c r="A106" s="4" t="s">
        <v>31</v>
      </c>
      <c r="B106" t="s">
        <v>72</v>
      </c>
      <c r="C106">
        <v>4.3224551822538899</v>
      </c>
    </row>
    <row r="107" spans="1:3">
      <c r="A107" s="4" t="s">
        <v>31</v>
      </c>
      <c r="B107" t="s">
        <v>74</v>
      </c>
      <c r="C107">
        <v>0.81464637826516295</v>
      </c>
    </row>
    <row r="108" spans="1:3">
      <c r="A108" s="4" t="s">
        <v>31</v>
      </c>
      <c r="B108" t="s">
        <v>75</v>
      </c>
      <c r="C108">
        <v>1.1985184380647</v>
      </c>
    </row>
    <row r="109" spans="1:3">
      <c r="A109" s="4" t="s">
        <v>31</v>
      </c>
      <c r="B109" t="s">
        <v>69</v>
      </c>
      <c r="C109">
        <v>2.4404407067149401</v>
      </c>
    </row>
    <row r="110" spans="1:3">
      <c r="A110" s="4" t="s">
        <v>32</v>
      </c>
      <c r="B110" t="s">
        <v>73</v>
      </c>
      <c r="C110">
        <v>2.5043129446419798</v>
      </c>
    </row>
    <row r="111" spans="1:3">
      <c r="A111" s="4" t="s">
        <v>32</v>
      </c>
      <c r="B111" t="s">
        <v>72</v>
      </c>
      <c r="C111">
        <v>4.1721201056424304</v>
      </c>
    </row>
    <row r="112" spans="1:3">
      <c r="A112" s="4" t="s">
        <v>32</v>
      </c>
      <c r="B112" t="s">
        <v>74</v>
      </c>
      <c r="C112">
        <v>0.77460684295751703</v>
      </c>
    </row>
    <row r="113" spans="1:3">
      <c r="A113" s="4" t="s">
        <v>32</v>
      </c>
      <c r="B113" t="s">
        <v>75</v>
      </c>
      <c r="C113">
        <v>1.41690439841611</v>
      </c>
    </row>
    <row r="114" spans="1:3">
      <c r="A114" s="4" t="s">
        <v>32</v>
      </c>
      <c r="B114" t="s">
        <v>71</v>
      </c>
      <c r="C114">
        <v>0.54029513816005104</v>
      </c>
    </row>
    <row r="115" spans="1:3">
      <c r="A115" s="4" t="s">
        <v>32</v>
      </c>
      <c r="B115" t="s">
        <v>69</v>
      </c>
      <c r="C115">
        <v>2.55791575013949</v>
      </c>
    </row>
    <row r="116" spans="1:3">
      <c r="A116" s="4" t="s">
        <v>33</v>
      </c>
      <c r="B116" t="s">
        <v>71</v>
      </c>
      <c r="C116">
        <v>0.42845580250287402</v>
      </c>
    </row>
    <row r="117" spans="1:3">
      <c r="A117" s="4" t="s">
        <v>33</v>
      </c>
      <c r="B117" t="s">
        <v>72</v>
      </c>
      <c r="C117">
        <v>4.2427990357631904</v>
      </c>
    </row>
    <row r="118" spans="1:3">
      <c r="A118" s="4" t="s">
        <v>33</v>
      </c>
      <c r="B118" t="s">
        <v>73</v>
      </c>
      <c r="C118">
        <v>2.4598398036751701</v>
      </c>
    </row>
    <row r="119" spans="1:3">
      <c r="A119" s="4" t="s">
        <v>33</v>
      </c>
      <c r="B119" t="s">
        <v>74</v>
      </c>
      <c r="C119">
        <v>0.81498697888136895</v>
      </c>
    </row>
    <row r="120" spans="1:3">
      <c r="A120" s="4" t="s">
        <v>33</v>
      </c>
      <c r="B120" t="s">
        <v>75</v>
      </c>
      <c r="C120">
        <v>1.4522773477712001</v>
      </c>
    </row>
    <row r="121" spans="1:3">
      <c r="A121" s="4" t="s">
        <v>33</v>
      </c>
      <c r="B121" t="s">
        <v>69</v>
      </c>
      <c r="C121">
        <v>2.47609126206574</v>
      </c>
    </row>
    <row r="122" spans="1:3">
      <c r="A122" s="4" t="s">
        <v>34</v>
      </c>
      <c r="B122" t="s">
        <v>71</v>
      </c>
      <c r="C122">
        <v>0.50445355896486199</v>
      </c>
    </row>
    <row r="123" spans="1:3">
      <c r="A123" s="4" t="s">
        <v>34</v>
      </c>
      <c r="B123" t="s">
        <v>72</v>
      </c>
      <c r="C123">
        <v>4.25081587935433</v>
      </c>
    </row>
    <row r="124" spans="1:3">
      <c r="A124" s="4" t="s">
        <v>34</v>
      </c>
      <c r="B124" t="s">
        <v>73</v>
      </c>
      <c r="C124">
        <v>2.55058802392367</v>
      </c>
    </row>
    <row r="125" spans="1:3">
      <c r="A125" s="4" t="s">
        <v>34</v>
      </c>
      <c r="B125" t="s">
        <v>74</v>
      </c>
      <c r="C125">
        <v>0.65307833309098795</v>
      </c>
    </row>
    <row r="126" spans="1:3">
      <c r="A126" s="4" t="s">
        <v>34</v>
      </c>
      <c r="B126" t="s">
        <v>75</v>
      </c>
      <c r="C126">
        <v>1.33864328186868</v>
      </c>
    </row>
    <row r="127" spans="1:3">
      <c r="A127" s="4" t="s">
        <v>34</v>
      </c>
      <c r="B127" t="s">
        <v>69</v>
      </c>
      <c r="C127">
        <v>2.4477459304869398</v>
      </c>
    </row>
    <row r="128" spans="1:3">
      <c r="A128" s="4" t="s">
        <v>35</v>
      </c>
      <c r="B128" t="s">
        <v>71</v>
      </c>
      <c r="C128">
        <v>0.43571828911195998</v>
      </c>
    </row>
    <row r="129" spans="1:3">
      <c r="A129" s="4" t="s">
        <v>35</v>
      </c>
      <c r="B129" t="s">
        <v>73</v>
      </c>
      <c r="C129">
        <v>2.3425771684108301</v>
      </c>
    </row>
    <row r="130" spans="1:3">
      <c r="A130" s="4" t="s">
        <v>35</v>
      </c>
      <c r="B130" t="s">
        <v>72</v>
      </c>
      <c r="C130">
        <v>4.2909917916197999</v>
      </c>
    </row>
    <row r="131" spans="1:3">
      <c r="A131" s="4" t="s">
        <v>35</v>
      </c>
      <c r="B131" t="s">
        <v>74</v>
      </c>
      <c r="C131">
        <v>0.61547530076688095</v>
      </c>
    </row>
    <row r="132" spans="1:3">
      <c r="A132" s="4" t="s">
        <v>35</v>
      </c>
      <c r="B132" t="s">
        <v>75</v>
      </c>
      <c r="C132">
        <v>1.30225653890535</v>
      </c>
    </row>
    <row r="133" spans="1:3">
      <c r="A133" s="4" t="s">
        <v>35</v>
      </c>
      <c r="B133" t="s">
        <v>69</v>
      </c>
      <c r="C133">
        <v>2.3521737437508698</v>
      </c>
    </row>
    <row r="134" spans="1:3">
      <c r="A134" s="4" t="s">
        <v>36</v>
      </c>
      <c r="B134" t="s">
        <v>74</v>
      </c>
      <c r="C134">
        <v>0.63601164556614198</v>
      </c>
    </row>
    <row r="135" spans="1:3">
      <c r="A135" s="4" t="s">
        <v>36</v>
      </c>
      <c r="B135" t="s">
        <v>71</v>
      </c>
      <c r="C135">
        <v>0.50043251627362795</v>
      </c>
    </row>
    <row r="136" spans="1:3">
      <c r="A136" s="4" t="s">
        <v>36</v>
      </c>
      <c r="B136" t="s">
        <v>73</v>
      </c>
      <c r="C136">
        <v>2.32877215296782</v>
      </c>
    </row>
    <row r="137" spans="1:3">
      <c r="A137" s="4" t="s">
        <v>36</v>
      </c>
      <c r="B137" t="s">
        <v>72</v>
      </c>
      <c r="C137">
        <v>4.3326777823315599</v>
      </c>
    </row>
    <row r="138" spans="1:3">
      <c r="A138" s="4" t="s">
        <v>36</v>
      </c>
      <c r="B138" t="s">
        <v>75</v>
      </c>
      <c r="C138">
        <v>1.25777583566995</v>
      </c>
    </row>
    <row r="139" spans="1:3">
      <c r="A139" s="4" t="s">
        <v>36</v>
      </c>
      <c r="B139" t="s">
        <v>69</v>
      </c>
      <c r="C139">
        <v>2.2595879925496201</v>
      </c>
    </row>
    <row r="140" spans="1:3">
      <c r="A140" s="4" t="s">
        <v>37</v>
      </c>
      <c r="B140" t="s">
        <v>73</v>
      </c>
      <c r="C140">
        <v>2.6072890313342101</v>
      </c>
    </row>
    <row r="141" spans="1:3">
      <c r="A141" s="4" t="s">
        <v>37</v>
      </c>
      <c r="B141" t="s">
        <v>72</v>
      </c>
      <c r="C141">
        <v>4.6946683056736598</v>
      </c>
    </row>
    <row r="142" spans="1:3">
      <c r="A142" s="4" t="s">
        <v>37</v>
      </c>
      <c r="B142" t="s">
        <v>74</v>
      </c>
      <c r="C142">
        <v>0.77742998692625798</v>
      </c>
    </row>
    <row r="143" spans="1:3">
      <c r="A143" s="4" t="s">
        <v>37</v>
      </c>
      <c r="B143" t="s">
        <v>71</v>
      </c>
      <c r="C143">
        <v>0.48689578131008099</v>
      </c>
    </row>
    <row r="144" spans="1:3">
      <c r="A144" s="4" t="s">
        <v>37</v>
      </c>
      <c r="B144" t="s">
        <v>75</v>
      </c>
      <c r="C144">
        <v>1.5977118195657301</v>
      </c>
    </row>
    <row r="145" spans="1:3">
      <c r="A145" s="4" t="s">
        <v>37</v>
      </c>
      <c r="B145" t="s">
        <v>69</v>
      </c>
      <c r="C145">
        <v>2.4286690779104299</v>
      </c>
    </row>
    <row r="146" spans="1:3">
      <c r="A146" s="4" t="s">
        <v>38</v>
      </c>
      <c r="B146" t="s">
        <v>73</v>
      </c>
      <c r="C146">
        <v>2.5204519044853999</v>
      </c>
    </row>
    <row r="147" spans="1:3">
      <c r="A147" s="4" t="s">
        <v>38</v>
      </c>
      <c r="B147" t="s">
        <v>71</v>
      </c>
      <c r="C147">
        <v>0.51698030714326204</v>
      </c>
    </row>
    <row r="148" spans="1:3">
      <c r="A148" s="4" t="s">
        <v>38</v>
      </c>
      <c r="B148" t="s">
        <v>72</v>
      </c>
      <c r="C148">
        <v>4.68710971163219</v>
      </c>
    </row>
    <row r="149" spans="1:3">
      <c r="A149" s="4" t="s">
        <v>38</v>
      </c>
      <c r="B149" t="s">
        <v>74</v>
      </c>
      <c r="C149">
        <v>0.77434889617309999</v>
      </c>
    </row>
    <row r="150" spans="1:3">
      <c r="A150" s="4" t="s">
        <v>38</v>
      </c>
      <c r="B150" t="s">
        <v>75</v>
      </c>
      <c r="C150">
        <v>1.3833716012753201</v>
      </c>
    </row>
    <row r="151" spans="1:3">
      <c r="A151" s="4" t="s">
        <v>38</v>
      </c>
      <c r="B151" t="s">
        <v>69</v>
      </c>
      <c r="C151">
        <v>2.5682715587231799</v>
      </c>
    </row>
    <row r="152" spans="1:3">
      <c r="A152" s="4" t="s">
        <v>39</v>
      </c>
      <c r="B152" t="s">
        <v>74</v>
      </c>
      <c r="C152">
        <v>0.80017182774254303</v>
      </c>
    </row>
    <row r="153" spans="1:3">
      <c r="A153" s="4" t="s">
        <v>39</v>
      </c>
      <c r="B153" t="s">
        <v>73</v>
      </c>
      <c r="C153">
        <v>2.45950438030015</v>
      </c>
    </row>
    <row r="154" spans="1:3">
      <c r="A154" s="4" t="s">
        <v>39</v>
      </c>
      <c r="B154" t="s">
        <v>72</v>
      </c>
      <c r="C154">
        <v>4.6837046110714198</v>
      </c>
    </row>
    <row r="155" spans="1:3">
      <c r="A155" s="4" t="s">
        <v>39</v>
      </c>
      <c r="B155" t="s">
        <v>75</v>
      </c>
      <c r="C155">
        <v>1.2381370351458001</v>
      </c>
    </row>
    <row r="156" spans="1:3">
      <c r="A156" s="4" t="s">
        <v>39</v>
      </c>
      <c r="B156" t="s">
        <v>71</v>
      </c>
      <c r="C156">
        <v>0.56361073090803704</v>
      </c>
    </row>
    <row r="157" spans="1:3">
      <c r="A157" s="4" t="s">
        <v>39</v>
      </c>
      <c r="B157" t="s">
        <v>69</v>
      </c>
      <c r="C157">
        <v>2.5238318453822002</v>
      </c>
    </row>
    <row r="158" spans="1:3">
      <c r="A158" s="4" t="s">
        <v>40</v>
      </c>
      <c r="B158" t="s">
        <v>73</v>
      </c>
      <c r="C158">
        <v>2.4061039177625401</v>
      </c>
    </row>
    <row r="159" spans="1:3">
      <c r="A159" s="4" t="s">
        <v>40</v>
      </c>
      <c r="B159" t="s">
        <v>72</v>
      </c>
      <c r="C159">
        <v>4.5969914925005604</v>
      </c>
    </row>
    <row r="160" spans="1:3">
      <c r="A160" s="4" t="s">
        <v>40</v>
      </c>
      <c r="B160" t="s">
        <v>71</v>
      </c>
      <c r="C160">
        <v>0.51559403680619698</v>
      </c>
    </row>
    <row r="161" spans="1:3">
      <c r="A161" s="4" t="s">
        <v>40</v>
      </c>
      <c r="B161" t="s">
        <v>74</v>
      </c>
      <c r="C161">
        <v>0.68487011803225994</v>
      </c>
    </row>
    <row r="162" spans="1:3">
      <c r="A162" s="4" t="s">
        <v>40</v>
      </c>
      <c r="B162" t="s">
        <v>75</v>
      </c>
      <c r="C162">
        <v>1.1380032638719599</v>
      </c>
    </row>
    <row r="163" spans="1:3">
      <c r="A163" s="4" t="s">
        <v>40</v>
      </c>
      <c r="B163" t="s">
        <v>69</v>
      </c>
      <c r="C163">
        <v>2.2947842241791498</v>
      </c>
    </row>
    <row r="164" spans="1:3">
      <c r="A164" s="4" t="s">
        <v>41</v>
      </c>
      <c r="B164" t="s">
        <v>74</v>
      </c>
      <c r="C164">
        <v>0.71619126994271298</v>
      </c>
    </row>
    <row r="165" spans="1:3">
      <c r="A165" s="4" t="s">
        <v>41</v>
      </c>
      <c r="B165" t="s">
        <v>72</v>
      </c>
      <c r="C165">
        <v>4.4497931933353696</v>
      </c>
    </row>
    <row r="166" spans="1:3">
      <c r="A166" s="4" t="s">
        <v>41</v>
      </c>
      <c r="B166" t="s">
        <v>73</v>
      </c>
      <c r="C166">
        <v>2.4120532509577299</v>
      </c>
    </row>
    <row r="167" spans="1:3">
      <c r="A167" s="4" t="s">
        <v>41</v>
      </c>
      <c r="B167" t="s">
        <v>71</v>
      </c>
      <c r="C167">
        <v>0.47779305528531202</v>
      </c>
    </row>
    <row r="168" spans="1:3">
      <c r="A168" s="4" t="s">
        <v>41</v>
      </c>
      <c r="B168" t="s">
        <v>75</v>
      </c>
      <c r="C168">
        <v>1.3535097631513999</v>
      </c>
    </row>
    <row r="169" spans="1:3">
      <c r="A169" s="4" t="s">
        <v>41</v>
      </c>
      <c r="B169" t="s">
        <v>69</v>
      </c>
      <c r="C169">
        <v>2.2531043578762802</v>
      </c>
    </row>
    <row r="170" spans="1:3">
      <c r="A170" s="4" t="s">
        <v>42</v>
      </c>
      <c r="B170" t="s">
        <v>71</v>
      </c>
      <c r="C170">
        <v>0.54605446313225103</v>
      </c>
    </row>
    <row r="171" spans="1:3">
      <c r="A171" s="4" t="s">
        <v>42</v>
      </c>
      <c r="B171" t="s">
        <v>73</v>
      </c>
      <c r="C171">
        <v>2.2515599208822299</v>
      </c>
    </row>
    <row r="172" spans="1:3">
      <c r="A172" s="4" t="s">
        <v>42</v>
      </c>
      <c r="B172" t="s">
        <v>74</v>
      </c>
      <c r="C172">
        <v>0.62649916403686301</v>
      </c>
    </row>
    <row r="173" spans="1:3">
      <c r="A173" s="4" t="s">
        <v>42</v>
      </c>
      <c r="B173" t="s">
        <v>72</v>
      </c>
      <c r="C173">
        <v>4.7383257149082603</v>
      </c>
    </row>
    <row r="174" spans="1:3">
      <c r="A174" s="4" t="s">
        <v>42</v>
      </c>
      <c r="B174" t="s">
        <v>75</v>
      </c>
      <c r="C174">
        <v>1.2085138311405501</v>
      </c>
    </row>
    <row r="175" spans="1:3">
      <c r="A175" s="4" t="s">
        <v>42</v>
      </c>
      <c r="B175" t="s">
        <v>69</v>
      </c>
      <c r="C175">
        <v>2.3180340156733799</v>
      </c>
    </row>
    <row r="176" spans="1:3">
      <c r="A176" s="4" t="s">
        <v>43</v>
      </c>
      <c r="B176" t="s">
        <v>72</v>
      </c>
      <c r="C176">
        <v>4.8273415305147198</v>
      </c>
    </row>
    <row r="177" spans="1:3">
      <c r="A177" s="4" t="s">
        <v>43</v>
      </c>
      <c r="B177" t="s">
        <v>75</v>
      </c>
      <c r="C177">
        <v>1.3179376548112101</v>
      </c>
    </row>
    <row r="178" spans="1:3">
      <c r="A178" s="4" t="s">
        <v>43</v>
      </c>
      <c r="B178" t="s">
        <v>73</v>
      </c>
      <c r="C178">
        <v>2.1556495019472099</v>
      </c>
    </row>
    <row r="179" spans="1:3">
      <c r="A179" s="4" t="s">
        <v>43</v>
      </c>
      <c r="B179" t="s">
        <v>74</v>
      </c>
      <c r="C179">
        <v>0.63370396659335304</v>
      </c>
    </row>
    <row r="180" spans="1:3">
      <c r="A180" s="4" t="s">
        <v>43</v>
      </c>
      <c r="B180" t="s">
        <v>71</v>
      </c>
      <c r="C180">
        <v>0.53317009575413699</v>
      </c>
    </row>
    <row r="181" spans="1:3">
      <c r="A181" s="4" t="s">
        <v>43</v>
      </c>
      <c r="B181" t="s">
        <v>69</v>
      </c>
      <c r="C181">
        <v>2.4138491615675299</v>
      </c>
    </row>
    <row r="182" spans="1:3">
      <c r="A182" s="4" t="s">
        <v>44</v>
      </c>
      <c r="B182" t="s">
        <v>73</v>
      </c>
      <c r="C182">
        <v>2.34748548477608</v>
      </c>
    </row>
    <row r="183" spans="1:3">
      <c r="A183" s="4" t="s">
        <v>44</v>
      </c>
      <c r="B183" t="s">
        <v>72</v>
      </c>
      <c r="C183">
        <v>4.9761772364662296</v>
      </c>
    </row>
    <row r="184" spans="1:3">
      <c r="A184" s="4" t="s">
        <v>44</v>
      </c>
      <c r="B184" t="s">
        <v>71</v>
      </c>
      <c r="C184">
        <v>0.47577870302272801</v>
      </c>
    </row>
    <row r="185" spans="1:3">
      <c r="A185" s="4" t="s">
        <v>44</v>
      </c>
      <c r="B185" t="s">
        <v>74</v>
      </c>
      <c r="C185">
        <v>0.55422391045168995</v>
      </c>
    </row>
    <row r="186" spans="1:3">
      <c r="A186" s="4" t="s">
        <v>44</v>
      </c>
      <c r="B186" t="s">
        <v>75</v>
      </c>
      <c r="C186">
        <v>1.45676664294328</v>
      </c>
    </row>
    <row r="187" spans="1:3">
      <c r="A187" s="4" t="s">
        <v>44</v>
      </c>
      <c r="B187" t="s">
        <v>69</v>
      </c>
      <c r="C187">
        <v>2.56655781506575</v>
      </c>
    </row>
    <row r="188" spans="1:3">
      <c r="A188" s="4" t="s">
        <v>45</v>
      </c>
      <c r="B188" t="s">
        <v>73</v>
      </c>
      <c r="C188">
        <v>2.11494629661571</v>
      </c>
    </row>
    <row r="189" spans="1:3">
      <c r="A189" s="4" t="s">
        <v>45</v>
      </c>
      <c r="B189" t="s">
        <v>71</v>
      </c>
      <c r="C189">
        <v>0.47823990236356001</v>
      </c>
    </row>
    <row r="190" spans="1:3">
      <c r="A190" s="4" t="s">
        <v>45</v>
      </c>
      <c r="B190" t="s">
        <v>72</v>
      </c>
      <c r="C190">
        <v>4.9337304939478797</v>
      </c>
    </row>
    <row r="191" spans="1:3">
      <c r="A191" s="4" t="s">
        <v>45</v>
      </c>
      <c r="B191" t="s">
        <v>74</v>
      </c>
      <c r="C191">
        <v>0.565053765072421</v>
      </c>
    </row>
    <row r="192" spans="1:3">
      <c r="A192" s="4" t="s">
        <v>45</v>
      </c>
      <c r="B192" t="s">
        <v>75</v>
      </c>
      <c r="C192">
        <v>1.6945769790935299</v>
      </c>
    </row>
    <row r="193" spans="1:3">
      <c r="A193" s="4" t="s">
        <v>45</v>
      </c>
      <c r="B193" t="s">
        <v>69</v>
      </c>
      <c r="C193">
        <v>2.5867090974932698</v>
      </c>
    </row>
    <row r="194" spans="1:3">
      <c r="A194" s="4" t="s">
        <v>46</v>
      </c>
      <c r="B194" t="s">
        <v>71</v>
      </c>
      <c r="C194">
        <v>0.41332357310797901</v>
      </c>
    </row>
    <row r="195" spans="1:3">
      <c r="A195" s="4" t="s">
        <v>46</v>
      </c>
      <c r="B195" t="s">
        <v>73</v>
      </c>
      <c r="C195">
        <v>2.05569160515837</v>
      </c>
    </row>
    <row r="196" spans="1:3">
      <c r="A196" s="4" t="s">
        <v>46</v>
      </c>
      <c r="B196" t="s">
        <v>72</v>
      </c>
      <c r="C196">
        <v>4.9852930420431001</v>
      </c>
    </row>
    <row r="197" spans="1:3">
      <c r="A197" s="4" t="s">
        <v>46</v>
      </c>
      <c r="B197" t="s">
        <v>74</v>
      </c>
      <c r="C197">
        <v>0.47618473225816199</v>
      </c>
    </row>
    <row r="198" spans="1:3">
      <c r="A198" s="4" t="s">
        <v>46</v>
      </c>
      <c r="B198" t="s">
        <v>75</v>
      </c>
      <c r="C198">
        <v>1.0452011035022299</v>
      </c>
    </row>
    <row r="199" spans="1:3">
      <c r="A199" s="4" t="s">
        <v>46</v>
      </c>
      <c r="B199" t="s">
        <v>69</v>
      </c>
      <c r="C199">
        <v>2.4745685384122602</v>
      </c>
    </row>
    <row r="200" spans="1:3">
      <c r="A200" s="4" t="s">
        <v>47</v>
      </c>
      <c r="B200" t="s">
        <v>73</v>
      </c>
      <c r="C200">
        <v>2.0998641542811698</v>
      </c>
    </row>
    <row r="201" spans="1:3">
      <c r="A201" s="4" t="s">
        <v>47</v>
      </c>
      <c r="B201" t="s">
        <v>72</v>
      </c>
      <c r="C201">
        <v>4.4819349314074799</v>
      </c>
    </row>
    <row r="202" spans="1:3">
      <c r="A202" s="4" t="s">
        <v>47</v>
      </c>
      <c r="B202" t="s">
        <v>71</v>
      </c>
      <c r="C202">
        <v>0.38644606652504498</v>
      </c>
    </row>
    <row r="203" spans="1:3">
      <c r="A203" s="4" t="s">
        <v>47</v>
      </c>
      <c r="B203" t="s">
        <v>74</v>
      </c>
      <c r="C203">
        <v>0.45242167823415402</v>
      </c>
    </row>
    <row r="204" spans="1:3">
      <c r="A204" s="4" t="s">
        <v>47</v>
      </c>
      <c r="B204" t="s">
        <v>75</v>
      </c>
      <c r="C204">
        <v>1.4454630030684099</v>
      </c>
    </row>
    <row r="205" spans="1:3">
      <c r="A205" s="4" t="s">
        <v>47</v>
      </c>
      <c r="B205" t="s">
        <v>69</v>
      </c>
      <c r="C205">
        <v>2.3918172542009501</v>
      </c>
    </row>
    <row r="206" spans="1:3">
      <c r="A206" s="4" t="s">
        <v>48</v>
      </c>
      <c r="B206" t="s">
        <v>72</v>
      </c>
      <c r="C206">
        <v>4.96467424552268</v>
      </c>
    </row>
    <row r="207" spans="1:3">
      <c r="A207" s="4" t="s">
        <v>48</v>
      </c>
      <c r="B207" t="s">
        <v>71</v>
      </c>
      <c r="C207">
        <v>0.42239132839677002</v>
      </c>
    </row>
    <row r="208" spans="1:3">
      <c r="A208" s="4" t="s">
        <v>48</v>
      </c>
      <c r="B208" t="s">
        <v>73</v>
      </c>
      <c r="C208">
        <v>2.1526913048382701</v>
      </c>
    </row>
    <row r="209" spans="1:3">
      <c r="A209" s="4" t="s">
        <v>48</v>
      </c>
      <c r="B209" t="s">
        <v>74</v>
      </c>
      <c r="C209">
        <v>0.48390396918856299</v>
      </c>
    </row>
    <row r="210" spans="1:3">
      <c r="A210" s="4" t="s">
        <v>48</v>
      </c>
      <c r="B210" t="s">
        <v>75</v>
      </c>
      <c r="C210">
        <v>1.590038982424</v>
      </c>
    </row>
    <row r="211" spans="1:3">
      <c r="A211" s="4" t="s">
        <v>48</v>
      </c>
      <c r="B211" t="s">
        <v>69</v>
      </c>
      <c r="C211">
        <v>2.4003572330696801</v>
      </c>
    </row>
    <row r="212" spans="1:3">
      <c r="A212" s="4" t="s">
        <v>49</v>
      </c>
      <c r="B212" t="s">
        <v>72</v>
      </c>
      <c r="C212">
        <v>5.2372730947251798</v>
      </c>
    </row>
    <row r="213" spans="1:3">
      <c r="A213" s="4" t="s">
        <v>49</v>
      </c>
      <c r="B213" t="s">
        <v>71</v>
      </c>
      <c r="C213">
        <v>0.47142095181919003</v>
      </c>
    </row>
    <row r="214" spans="1:3">
      <c r="A214" s="4" t="s">
        <v>49</v>
      </c>
      <c r="B214" t="s">
        <v>73</v>
      </c>
      <c r="C214">
        <v>2.29582083446194</v>
      </c>
    </row>
    <row r="215" spans="1:3">
      <c r="A215" s="4" t="s">
        <v>49</v>
      </c>
      <c r="B215" t="s">
        <v>74</v>
      </c>
      <c r="C215">
        <v>0.55336218931869396</v>
      </c>
    </row>
    <row r="216" spans="1:3">
      <c r="A216" s="4" t="s">
        <v>49</v>
      </c>
      <c r="B216" t="s">
        <v>75</v>
      </c>
      <c r="C216">
        <v>1.5686410023806301</v>
      </c>
    </row>
    <row r="217" spans="1:3">
      <c r="A217" s="4" t="s">
        <v>49</v>
      </c>
      <c r="B217" t="s">
        <v>69</v>
      </c>
      <c r="C217">
        <v>2.3985092931158198</v>
      </c>
    </row>
    <row r="218" spans="1:3">
      <c r="A218" s="4" t="s">
        <v>50</v>
      </c>
      <c r="B218" t="s">
        <v>73</v>
      </c>
      <c r="C218">
        <v>2.4454491101078299</v>
      </c>
    </row>
    <row r="219" spans="1:3">
      <c r="A219" s="4" t="s">
        <v>50</v>
      </c>
      <c r="B219" t="s">
        <v>72</v>
      </c>
      <c r="C219">
        <v>5.0816886733701496</v>
      </c>
    </row>
    <row r="220" spans="1:3">
      <c r="A220" s="4" t="s">
        <v>50</v>
      </c>
      <c r="B220" t="s">
        <v>71</v>
      </c>
      <c r="C220">
        <v>0.43233662248127602</v>
      </c>
    </row>
    <row r="221" spans="1:3">
      <c r="A221" s="4" t="s">
        <v>50</v>
      </c>
      <c r="B221" t="s">
        <v>74</v>
      </c>
      <c r="C221">
        <v>0.55024525197358498</v>
      </c>
    </row>
    <row r="222" spans="1:3">
      <c r="A222" s="4" t="s">
        <v>50</v>
      </c>
      <c r="B222" t="s">
        <v>75</v>
      </c>
      <c r="C222">
        <v>1.32776190115325</v>
      </c>
    </row>
    <row r="223" spans="1:3">
      <c r="A223" s="4" t="s">
        <v>50</v>
      </c>
      <c r="B223" t="s">
        <v>69</v>
      </c>
      <c r="C223">
        <v>2.28230077562724</v>
      </c>
    </row>
    <row r="224" spans="1:3">
      <c r="A224" s="4" t="s">
        <v>51</v>
      </c>
      <c r="B224" t="s">
        <v>73</v>
      </c>
      <c r="C224">
        <v>2.5933586843523502</v>
      </c>
    </row>
    <row r="225" spans="1:3">
      <c r="A225" s="4" t="s">
        <v>51</v>
      </c>
      <c r="B225" t="s">
        <v>71</v>
      </c>
      <c r="C225">
        <v>0.414572377861954</v>
      </c>
    </row>
    <row r="226" spans="1:3">
      <c r="A226" s="4" t="s">
        <v>51</v>
      </c>
      <c r="B226" t="s">
        <v>72</v>
      </c>
      <c r="C226">
        <v>5.5160298223450903</v>
      </c>
    </row>
    <row r="227" spans="1:3">
      <c r="A227" s="4" t="s">
        <v>51</v>
      </c>
      <c r="B227" t="s">
        <v>74</v>
      </c>
      <c r="C227">
        <v>1.56599744116682</v>
      </c>
    </row>
    <row r="228" spans="1:3">
      <c r="A228" s="4" t="s">
        <v>51</v>
      </c>
      <c r="B228" t="s">
        <v>75</v>
      </c>
      <c r="C228">
        <v>1.34548100824904</v>
      </c>
    </row>
    <row r="229" spans="1:3">
      <c r="A229" s="4" t="s">
        <v>51</v>
      </c>
      <c r="B229" t="s">
        <v>69</v>
      </c>
      <c r="C229">
        <v>2.3909338155921902</v>
      </c>
    </row>
    <row r="230" spans="1:3">
      <c r="A230" s="4" t="s">
        <v>52</v>
      </c>
      <c r="B230" t="s">
        <v>73</v>
      </c>
      <c r="C230">
        <v>5.9801079833111901</v>
      </c>
    </row>
    <row r="231" spans="1:3">
      <c r="A231" s="4" t="s">
        <v>52</v>
      </c>
      <c r="B231" t="s">
        <v>72</v>
      </c>
      <c r="C231">
        <v>12.9031025172168</v>
      </c>
    </row>
    <row r="232" spans="1:3">
      <c r="A232" s="4" t="s">
        <v>52</v>
      </c>
      <c r="B232" t="s">
        <v>71</v>
      </c>
      <c r="C232">
        <v>0.49780624985101302</v>
      </c>
    </row>
    <row r="233" spans="1:3">
      <c r="A233" s="4" t="s">
        <v>52</v>
      </c>
      <c r="B233" t="s">
        <v>74</v>
      </c>
      <c r="C233">
        <v>3.3463158238839501</v>
      </c>
    </row>
    <row r="234" spans="1:3">
      <c r="A234" s="4" t="s">
        <v>52</v>
      </c>
      <c r="B234" t="s">
        <v>75</v>
      </c>
      <c r="C234">
        <v>2.0810389609305999</v>
      </c>
    </row>
    <row r="235" spans="1:3">
      <c r="A235" s="4" t="s">
        <v>52</v>
      </c>
      <c r="B235" t="s">
        <v>69</v>
      </c>
      <c r="C235">
        <v>3.9471866106982398</v>
      </c>
    </row>
    <row r="236" spans="1:3">
      <c r="A236" s="4" t="s">
        <v>53</v>
      </c>
      <c r="B236" t="s">
        <v>71</v>
      </c>
      <c r="C236">
        <v>1.0407252775075</v>
      </c>
    </row>
    <row r="237" spans="1:3">
      <c r="A237" s="4" t="s">
        <v>53</v>
      </c>
      <c r="B237" t="s">
        <v>73</v>
      </c>
      <c r="C237">
        <v>6.0040727413517896</v>
      </c>
    </row>
    <row r="238" spans="1:3">
      <c r="A238" s="4" t="s">
        <v>53</v>
      </c>
      <c r="B238" t="s">
        <v>72</v>
      </c>
      <c r="C238">
        <v>25.944026864326499</v>
      </c>
    </row>
    <row r="239" spans="1:3">
      <c r="A239" s="4" t="s">
        <v>53</v>
      </c>
      <c r="B239" t="s">
        <v>74</v>
      </c>
      <c r="C239">
        <v>3.3744786367343602</v>
      </c>
    </row>
    <row r="240" spans="1:3">
      <c r="A240" s="4" t="s">
        <v>53</v>
      </c>
      <c r="B240" t="s">
        <v>75</v>
      </c>
      <c r="C240">
        <v>16.043060826057602</v>
      </c>
    </row>
    <row r="241" spans="1:3">
      <c r="A241" s="4" t="s">
        <v>53</v>
      </c>
      <c r="B241" t="s">
        <v>69</v>
      </c>
      <c r="C241">
        <v>7.3588089516894701</v>
      </c>
    </row>
    <row r="242" spans="1:3">
      <c r="A242" s="4" t="s">
        <v>54</v>
      </c>
      <c r="B242" t="s">
        <v>71</v>
      </c>
      <c r="C242">
        <v>1.07095958275617</v>
      </c>
    </row>
    <row r="243" spans="1:3">
      <c r="A243" s="4" t="s">
        <v>54</v>
      </c>
      <c r="B243" t="s">
        <v>73</v>
      </c>
      <c r="C243">
        <v>8.5514584507879601</v>
      </c>
    </row>
    <row r="244" spans="1:3">
      <c r="A244" s="4" t="s">
        <v>54</v>
      </c>
      <c r="B244" t="s">
        <v>72</v>
      </c>
      <c r="C244">
        <v>26.911455367462299</v>
      </c>
    </row>
    <row r="245" spans="1:3">
      <c r="A245" s="4" t="s">
        <v>54</v>
      </c>
      <c r="B245" t="s">
        <v>74</v>
      </c>
      <c r="C245">
        <v>2.2711645791300499</v>
      </c>
    </row>
    <row r="246" spans="1:3">
      <c r="A246" s="4" t="s">
        <v>54</v>
      </c>
      <c r="B246" t="s">
        <v>75</v>
      </c>
      <c r="C246">
        <v>18.801189602109801</v>
      </c>
    </row>
    <row r="247" spans="1:3">
      <c r="A247" s="4" t="s">
        <v>54</v>
      </c>
      <c r="B247" t="s">
        <v>69</v>
      </c>
      <c r="C247">
        <v>9.2222468758913099</v>
      </c>
    </row>
    <row r="248" spans="1:3">
      <c r="A248" s="4" t="s">
        <v>55</v>
      </c>
      <c r="B248" t="s">
        <v>71</v>
      </c>
      <c r="C248">
        <v>1.4264465266330699</v>
      </c>
    </row>
    <row r="249" spans="1:3">
      <c r="A249" s="4" t="s">
        <v>55</v>
      </c>
      <c r="B249" t="s">
        <v>72</v>
      </c>
      <c r="C249">
        <v>37.252263498880403</v>
      </c>
    </row>
    <row r="250" spans="1:3">
      <c r="A250" s="4" t="s">
        <v>55</v>
      </c>
      <c r="B250" t="s">
        <v>74</v>
      </c>
      <c r="C250">
        <v>2.0377373450952798</v>
      </c>
    </row>
    <row r="251" spans="1:3">
      <c r="A251" s="4" t="s">
        <v>55</v>
      </c>
      <c r="B251" t="s">
        <v>73</v>
      </c>
      <c r="C251">
        <v>7.88807632435263</v>
      </c>
    </row>
    <row r="252" spans="1:3">
      <c r="A252" s="4" t="s">
        <v>55</v>
      </c>
      <c r="B252" t="s">
        <v>75</v>
      </c>
      <c r="C252">
        <v>18.5911345467883</v>
      </c>
    </row>
    <row r="253" spans="1:3">
      <c r="A253" s="4" t="s">
        <v>55</v>
      </c>
      <c r="B253" t="s">
        <v>69</v>
      </c>
      <c r="C253">
        <v>9.5453731906289701</v>
      </c>
    </row>
    <row r="254" spans="1:3">
      <c r="A254" s="4" t="s">
        <v>56</v>
      </c>
      <c r="B254" t="s">
        <v>71</v>
      </c>
      <c r="C254">
        <v>1.5418303499664501</v>
      </c>
    </row>
    <row r="255" spans="1:3">
      <c r="A255" s="4" t="s">
        <v>56</v>
      </c>
      <c r="B255" t="s">
        <v>73</v>
      </c>
      <c r="C255">
        <v>7.8752211459405297</v>
      </c>
    </row>
    <row r="256" spans="1:3">
      <c r="A256" s="4" t="s">
        <v>56</v>
      </c>
      <c r="B256" t="s">
        <v>72</v>
      </c>
      <c r="C256">
        <v>41.198636228085</v>
      </c>
    </row>
    <row r="257" spans="1:3">
      <c r="A257" s="4" t="s">
        <v>56</v>
      </c>
      <c r="B257" t="s">
        <v>74</v>
      </c>
      <c r="C257">
        <v>2.15487664124614</v>
      </c>
    </row>
    <row r="258" spans="1:3">
      <c r="A258" s="4" t="s">
        <v>56</v>
      </c>
      <c r="B258" t="s">
        <v>75</v>
      </c>
      <c r="C258">
        <v>22.347999604934301</v>
      </c>
    </row>
    <row r="259" spans="1:3">
      <c r="A259" s="4" t="s">
        <v>56</v>
      </c>
      <c r="B259" t="s">
        <v>69</v>
      </c>
      <c r="C259">
        <v>10.1570021313099</v>
      </c>
    </row>
    <row r="260" spans="1:3">
      <c r="A260" s="4" t="s">
        <v>57</v>
      </c>
      <c r="B260" t="s">
        <v>73</v>
      </c>
      <c r="C260">
        <v>7.4750223911160401</v>
      </c>
    </row>
    <row r="261" spans="1:3">
      <c r="A261" s="4" t="s">
        <v>57</v>
      </c>
      <c r="B261" t="s">
        <v>72</v>
      </c>
      <c r="C261">
        <v>39.790628570132199</v>
      </c>
    </row>
    <row r="262" spans="1:3">
      <c r="A262" s="4" t="s">
        <v>57</v>
      </c>
      <c r="B262" t="s">
        <v>75</v>
      </c>
      <c r="C262">
        <v>21.001938895580398</v>
      </c>
    </row>
    <row r="263" spans="1:3">
      <c r="A263" s="4" t="s">
        <v>57</v>
      </c>
      <c r="B263" t="s">
        <v>71</v>
      </c>
      <c r="C263">
        <v>1.6218533191726201</v>
      </c>
    </row>
    <row r="264" spans="1:3">
      <c r="A264" s="4" t="s">
        <v>57</v>
      </c>
      <c r="B264" t="s">
        <v>74</v>
      </c>
      <c r="C264">
        <v>2.2664883224748</v>
      </c>
    </row>
    <row r="265" spans="1:3">
      <c r="A265" s="4" t="s">
        <v>57</v>
      </c>
      <c r="B265" t="s">
        <v>69</v>
      </c>
      <c r="C265">
        <v>11.0245368660634</v>
      </c>
    </row>
    <row r="266" spans="1:3">
      <c r="A266" s="4" t="s">
        <v>58</v>
      </c>
      <c r="B266" t="s">
        <v>71</v>
      </c>
      <c r="C266">
        <v>0.81901873610295906</v>
      </c>
    </row>
    <row r="267" spans="1:3">
      <c r="A267" s="4" t="s">
        <v>58</v>
      </c>
      <c r="B267" t="s">
        <v>73</v>
      </c>
      <c r="C267">
        <v>8.1103613719345198</v>
      </c>
    </row>
    <row r="268" spans="1:3">
      <c r="A268" s="4" t="s">
        <v>58</v>
      </c>
      <c r="B268" t="s">
        <v>72</v>
      </c>
      <c r="C268">
        <v>39.957980916563699</v>
      </c>
    </row>
    <row r="269" spans="1:3">
      <c r="A269" s="4" t="s">
        <v>58</v>
      </c>
      <c r="B269" t="s">
        <v>74</v>
      </c>
      <c r="C269">
        <v>4.1539300358070799</v>
      </c>
    </row>
    <row r="270" spans="1:3">
      <c r="A270" s="4" t="s">
        <v>58</v>
      </c>
      <c r="B270" t="s">
        <v>75</v>
      </c>
      <c r="C270">
        <v>18.239077220123601</v>
      </c>
    </row>
    <row r="271" spans="1:3">
      <c r="A271" s="4" t="s">
        <v>58</v>
      </c>
      <c r="B271" t="s">
        <v>69</v>
      </c>
      <c r="C271">
        <v>11.1126966908186</v>
      </c>
    </row>
    <row r="272" spans="1:3">
      <c r="A272" s="4" t="s">
        <v>59</v>
      </c>
      <c r="B272" t="s">
        <v>73</v>
      </c>
      <c r="C272">
        <v>6.7477357002742497</v>
      </c>
    </row>
    <row r="273" spans="1:3">
      <c r="A273" s="4" t="s">
        <v>59</v>
      </c>
      <c r="B273" t="s">
        <v>72</v>
      </c>
      <c r="C273">
        <v>41.126761546243898</v>
      </c>
    </row>
    <row r="274" spans="1:3">
      <c r="A274" s="4" t="s">
        <v>59</v>
      </c>
      <c r="B274" t="s">
        <v>75</v>
      </c>
      <c r="C274">
        <v>15.512235101604601</v>
      </c>
    </row>
    <row r="275" spans="1:3">
      <c r="A275" s="4" t="s">
        <v>59</v>
      </c>
      <c r="B275" t="s">
        <v>71</v>
      </c>
      <c r="C275">
        <v>1.86531387353709</v>
      </c>
    </row>
    <row r="276" spans="1:3">
      <c r="A276" s="4" t="s">
        <v>59</v>
      </c>
      <c r="B276" t="s">
        <v>74</v>
      </c>
      <c r="C276">
        <v>3.45917505958491</v>
      </c>
    </row>
    <row r="277" spans="1:3">
      <c r="A277" s="4" t="s">
        <v>59</v>
      </c>
      <c r="B277" t="s">
        <v>69</v>
      </c>
      <c r="C277">
        <v>11.3840423031501</v>
      </c>
    </row>
    <row r="278" spans="1:3">
      <c r="A278" s="4" t="s">
        <v>60</v>
      </c>
      <c r="B278" t="s">
        <v>71</v>
      </c>
      <c r="C278">
        <v>1.1947240452591401</v>
      </c>
    </row>
    <row r="279" spans="1:3">
      <c r="A279" s="4" t="s">
        <v>60</v>
      </c>
      <c r="B279" t="s">
        <v>73</v>
      </c>
      <c r="C279">
        <v>5.9728468359760196</v>
      </c>
    </row>
    <row r="280" spans="1:3">
      <c r="A280" s="4" t="s">
        <v>60</v>
      </c>
      <c r="B280" t="s">
        <v>72</v>
      </c>
      <c r="C280">
        <v>39.7787158376562</v>
      </c>
    </row>
    <row r="281" spans="1:3">
      <c r="A281" s="4" t="s">
        <v>60</v>
      </c>
      <c r="B281" t="s">
        <v>74</v>
      </c>
      <c r="C281">
        <v>2.1205487463697601</v>
      </c>
    </row>
    <row r="282" spans="1:3">
      <c r="A282" s="4" t="s">
        <v>60</v>
      </c>
      <c r="B282" t="s">
        <v>75</v>
      </c>
      <c r="C282">
        <v>15.3480872200729</v>
      </c>
    </row>
    <row r="283" spans="1:3">
      <c r="A283" s="4" t="s">
        <v>60</v>
      </c>
      <c r="B283" t="s">
        <v>69</v>
      </c>
      <c r="C283">
        <v>10.4775587602184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workbookViewId="0"/>
  </sheetViews>
  <sheetFormatPr defaultColWidth="11.42578125" defaultRowHeight="15"/>
  <cols>
    <col min="1" max="1" width="8.7109375" customWidth="1"/>
    <col min="2" max="2" width="12.7109375" customWidth="1"/>
    <col min="3" max="3" width="60.7109375" customWidth="1"/>
    <col min="4" max="4" width="12.7109375" customWidth="1"/>
  </cols>
  <sheetData>
    <row r="1" spans="1:4" ht="30" customHeight="1">
      <c r="A1" s="5" t="s">
        <v>11</v>
      </c>
      <c r="B1" s="5" t="s">
        <v>76</v>
      </c>
      <c r="C1" s="5" t="s">
        <v>77</v>
      </c>
      <c r="D1" s="5" t="s">
        <v>78</v>
      </c>
    </row>
    <row r="2" spans="1:4">
      <c r="A2" s="4" t="s">
        <v>47</v>
      </c>
      <c r="B2">
        <v>0.33334962537646601</v>
      </c>
      <c r="C2" t="s">
        <v>79</v>
      </c>
      <c r="D2">
        <v>0.109518429390731</v>
      </c>
    </row>
    <row r="3" spans="1:4">
      <c r="A3" s="4" t="s">
        <v>47</v>
      </c>
      <c r="B3">
        <v>0.33334962537646601</v>
      </c>
      <c r="C3" t="s">
        <v>80</v>
      </c>
      <c r="D3">
        <v>0.223831195985735</v>
      </c>
    </row>
    <row r="4" spans="1:4">
      <c r="A4" s="4" t="s">
        <v>48</v>
      </c>
      <c r="B4">
        <v>0.61080562469100896</v>
      </c>
      <c r="C4" t="s">
        <v>79</v>
      </c>
      <c r="D4">
        <v>9.74543871997339E-2</v>
      </c>
    </row>
    <row r="5" spans="1:4">
      <c r="A5" s="4" t="s">
        <v>48</v>
      </c>
      <c r="B5">
        <v>0.61080562469100896</v>
      </c>
      <c r="C5" t="s">
        <v>80</v>
      </c>
      <c r="D5">
        <v>0.51335123749127498</v>
      </c>
    </row>
    <row r="6" spans="1:4">
      <c r="A6" s="4" t="s">
        <v>49</v>
      </c>
      <c r="B6">
        <v>0.80643674278533295</v>
      </c>
      <c r="C6" t="s">
        <v>79</v>
      </c>
      <c r="D6">
        <v>0.14646241153262399</v>
      </c>
    </row>
    <row r="7" spans="1:4">
      <c r="A7" s="4" t="s">
        <v>49</v>
      </c>
      <c r="B7">
        <v>0.80643674278533295</v>
      </c>
      <c r="C7" t="s">
        <v>80</v>
      </c>
      <c r="D7">
        <v>0.65997433125270899</v>
      </c>
    </row>
    <row r="8" spans="1:4">
      <c r="A8" s="4" t="s">
        <v>50</v>
      </c>
      <c r="B8">
        <v>0.87967491104291295</v>
      </c>
      <c r="C8" t="s">
        <v>79</v>
      </c>
      <c r="D8">
        <v>8.8279005506329694E-2</v>
      </c>
    </row>
    <row r="9" spans="1:4">
      <c r="A9" s="4" t="s">
        <v>50</v>
      </c>
      <c r="B9">
        <v>0.87967491104291295</v>
      </c>
      <c r="C9" t="s">
        <v>80</v>
      </c>
      <c r="D9">
        <v>0.79139590553658301</v>
      </c>
    </row>
    <row r="10" spans="1:4">
      <c r="A10" s="4" t="s">
        <v>51</v>
      </c>
      <c r="B10">
        <v>1.1165893708058601</v>
      </c>
      <c r="C10" t="s">
        <v>79</v>
      </c>
      <c r="D10">
        <v>0.72864198579079198</v>
      </c>
    </row>
    <row r="11" spans="1:4">
      <c r="A11" s="4" t="s">
        <v>51</v>
      </c>
      <c r="B11">
        <v>1.1165893708058601</v>
      </c>
      <c r="C11" t="s">
        <v>80</v>
      </c>
      <c r="D11">
        <v>0.38794738501506598</v>
      </c>
    </row>
    <row r="12" spans="1:4">
      <c r="A12" s="4" t="s">
        <v>52</v>
      </c>
      <c r="B12">
        <v>7.3187895943977299</v>
      </c>
      <c r="C12" t="s">
        <v>79</v>
      </c>
      <c r="D12">
        <v>7.3927000609277096</v>
      </c>
    </row>
    <row r="13" spans="1:4">
      <c r="A13" s="4" t="s">
        <v>52</v>
      </c>
      <c r="B13">
        <v>7.3187895943977299</v>
      </c>
      <c r="C13" t="s">
        <v>80</v>
      </c>
      <c r="D13">
        <v>-7.3910466529987395E-2</v>
      </c>
    </row>
    <row r="14" spans="1:4">
      <c r="A14" s="4" t="s">
        <v>53</v>
      </c>
      <c r="B14">
        <v>13.7009838558401</v>
      </c>
      <c r="C14" t="s">
        <v>79</v>
      </c>
      <c r="D14">
        <v>15.6491187210136</v>
      </c>
    </row>
    <row r="15" spans="1:4">
      <c r="A15" s="4" t="s">
        <v>53</v>
      </c>
      <c r="B15">
        <v>13.7009838558401</v>
      </c>
      <c r="C15" t="s">
        <v>80</v>
      </c>
      <c r="D15">
        <v>-1.94813486517345</v>
      </c>
    </row>
    <row r="16" spans="1:4">
      <c r="A16" s="4" t="s">
        <v>54</v>
      </c>
      <c r="B16">
        <v>18.2243881878507</v>
      </c>
      <c r="C16" t="s">
        <v>79</v>
      </c>
      <c r="D16">
        <v>24.726958803247602</v>
      </c>
    </row>
    <row r="17" spans="1:4">
      <c r="A17" s="4" t="s">
        <v>54</v>
      </c>
      <c r="B17">
        <v>18.2243881878507</v>
      </c>
      <c r="C17" t="s">
        <v>80</v>
      </c>
      <c r="D17">
        <v>-6.5025706153969498</v>
      </c>
    </row>
    <row r="18" spans="1:4">
      <c r="A18" s="4" t="s">
        <v>55</v>
      </c>
      <c r="B18">
        <v>17.5718541918705</v>
      </c>
      <c r="C18" t="s">
        <v>79</v>
      </c>
      <c r="D18">
        <v>23.976877324348401</v>
      </c>
    </row>
    <row r="19" spans="1:4">
      <c r="A19" s="4" t="s">
        <v>55</v>
      </c>
      <c r="B19">
        <v>17.5718541918705</v>
      </c>
      <c r="C19" t="s">
        <v>80</v>
      </c>
      <c r="D19">
        <v>-6.4050231324778499</v>
      </c>
    </row>
    <row r="20" spans="1:4">
      <c r="A20" s="4" t="s">
        <v>56</v>
      </c>
      <c r="B20">
        <v>21.843164100716699</v>
      </c>
      <c r="C20" t="s">
        <v>79</v>
      </c>
      <c r="D20">
        <v>25.3892625040484</v>
      </c>
    </row>
    <row r="21" spans="1:4">
      <c r="A21" s="4" t="s">
        <v>56</v>
      </c>
      <c r="B21">
        <v>21.843164100716699</v>
      </c>
      <c r="C21" t="s">
        <v>80</v>
      </c>
      <c r="D21">
        <v>-3.5460984033316598</v>
      </c>
    </row>
    <row r="22" spans="1:4">
      <c r="A22" s="4" t="s">
        <v>57</v>
      </c>
      <c r="B22">
        <v>20.829286032733901</v>
      </c>
      <c r="C22" t="s">
        <v>79</v>
      </c>
      <c r="D22">
        <v>27.374228374609</v>
      </c>
    </row>
    <row r="23" spans="1:4">
      <c r="A23" s="4" t="s">
        <v>57</v>
      </c>
      <c r="B23">
        <v>20.829286032733901</v>
      </c>
      <c r="C23" t="s">
        <v>80</v>
      </c>
      <c r="D23">
        <v>-6.5449423418751502</v>
      </c>
    </row>
    <row r="24" spans="1:4">
      <c r="A24" s="4" t="s">
        <v>58</v>
      </c>
      <c r="B24">
        <v>23.300969823055201</v>
      </c>
      <c r="C24" t="s">
        <v>79</v>
      </c>
      <c r="D24">
        <v>30.306838009755499</v>
      </c>
    </row>
    <row r="25" spans="1:4">
      <c r="A25" s="4" t="s">
        <v>58</v>
      </c>
      <c r="B25">
        <v>23.300969823055201</v>
      </c>
      <c r="C25" t="s">
        <v>80</v>
      </c>
      <c r="D25">
        <v>-7.0058681867003001</v>
      </c>
    </row>
    <row r="26" spans="1:4">
      <c r="A26" s="4" t="s">
        <v>59</v>
      </c>
      <c r="B26">
        <v>23.812773792705599</v>
      </c>
      <c r="C26" t="s">
        <v>79</v>
      </c>
      <c r="D26">
        <v>31.003500357458002</v>
      </c>
    </row>
    <row r="27" spans="1:4">
      <c r="A27" s="4" t="s">
        <v>59</v>
      </c>
      <c r="B27">
        <v>23.812773792705599</v>
      </c>
      <c r="C27" t="s">
        <v>80</v>
      </c>
      <c r="D27">
        <v>-7.1907265647523504</v>
      </c>
    </row>
    <row r="28" spans="1:4">
      <c r="A28" s="4" t="s">
        <v>60</v>
      </c>
      <c r="B28">
        <v>20.193064038063099</v>
      </c>
      <c r="C28" t="s">
        <v>79</v>
      </c>
      <c r="D28">
        <v>25.306669969511599</v>
      </c>
    </row>
    <row r="29" spans="1:4">
      <c r="A29" s="4" t="s">
        <v>60</v>
      </c>
      <c r="B29">
        <v>20.193064038063099</v>
      </c>
      <c r="C29" t="s">
        <v>80</v>
      </c>
      <c r="D29">
        <v>-5.1136059314484301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5"/>
  <sheetViews>
    <sheetView workbookViewId="0"/>
  </sheetViews>
  <sheetFormatPr defaultColWidth="11.42578125" defaultRowHeight="15"/>
  <cols>
    <col min="1" max="1" width="8.7109375" customWidth="1"/>
    <col min="2" max="2" width="7.7109375" customWidth="1"/>
    <col min="3" max="3" width="59.7109375" customWidth="1"/>
  </cols>
  <sheetData>
    <row r="1" spans="1:3" ht="30" customHeight="1">
      <c r="A1" s="5" t="s">
        <v>11</v>
      </c>
      <c r="B1" s="5" t="s">
        <v>61</v>
      </c>
      <c r="C1" s="5" t="s">
        <v>81</v>
      </c>
    </row>
    <row r="2" spans="1:3">
      <c r="A2" s="4" t="s">
        <v>14</v>
      </c>
      <c r="B2" t="s">
        <v>65</v>
      </c>
      <c r="C2">
        <v>32.491631498881503</v>
      </c>
    </row>
    <row r="3" spans="1:3">
      <c r="A3" s="4" t="s">
        <v>15</v>
      </c>
      <c r="B3" t="s">
        <v>65</v>
      </c>
      <c r="C3">
        <v>33.959224771845001</v>
      </c>
    </row>
    <row r="4" spans="1:3">
      <c r="A4" s="4" t="s">
        <v>16</v>
      </c>
      <c r="B4" t="s">
        <v>65</v>
      </c>
      <c r="C4">
        <v>34.866217227032301</v>
      </c>
    </row>
    <row r="5" spans="1:3">
      <c r="A5" s="4" t="s">
        <v>17</v>
      </c>
      <c r="B5" t="s">
        <v>65</v>
      </c>
      <c r="C5">
        <v>34.770853626776102</v>
      </c>
    </row>
    <row r="6" spans="1:3">
      <c r="A6" s="4" t="s">
        <v>18</v>
      </c>
      <c r="B6" t="s">
        <v>65</v>
      </c>
      <c r="C6">
        <v>33.026372020307299</v>
      </c>
    </row>
    <row r="7" spans="1:3">
      <c r="A7" s="4" t="s">
        <v>19</v>
      </c>
      <c r="B7" t="s">
        <v>65</v>
      </c>
      <c r="C7">
        <v>32.012656938427803</v>
      </c>
    </row>
    <row r="8" spans="1:3">
      <c r="A8" s="4" t="s">
        <v>20</v>
      </c>
      <c r="B8" t="s">
        <v>65</v>
      </c>
      <c r="C8">
        <v>32.9149325117803</v>
      </c>
    </row>
    <row r="9" spans="1:3">
      <c r="A9" s="4" t="s">
        <v>21</v>
      </c>
      <c r="B9" t="s">
        <v>65</v>
      </c>
      <c r="C9">
        <v>32.792871037527497</v>
      </c>
    </row>
    <row r="10" spans="1:3">
      <c r="A10" s="4" t="s">
        <v>22</v>
      </c>
      <c r="B10" t="s">
        <v>65</v>
      </c>
      <c r="C10">
        <v>34.178668642200897</v>
      </c>
    </row>
    <row r="11" spans="1:3">
      <c r="A11" s="4" t="s">
        <v>23</v>
      </c>
      <c r="B11" t="s">
        <v>65</v>
      </c>
      <c r="C11">
        <v>35.556354019820702</v>
      </c>
    </row>
    <row r="12" spans="1:3">
      <c r="A12" s="4" t="s">
        <v>24</v>
      </c>
      <c r="B12" t="s">
        <v>65</v>
      </c>
      <c r="C12">
        <v>35.292717664537797</v>
      </c>
    </row>
    <row r="13" spans="1:3">
      <c r="A13" s="4" t="s">
        <v>25</v>
      </c>
      <c r="B13" t="s">
        <v>65</v>
      </c>
      <c r="C13">
        <v>34.8443201501427</v>
      </c>
    </row>
    <row r="14" spans="1:3">
      <c r="A14" s="4" t="s">
        <v>26</v>
      </c>
      <c r="B14" t="s">
        <v>65</v>
      </c>
      <c r="C14">
        <v>36.300616933199997</v>
      </c>
    </row>
    <row r="15" spans="1:3">
      <c r="A15" s="4" t="s">
        <v>27</v>
      </c>
      <c r="B15" t="s">
        <v>65</v>
      </c>
      <c r="C15">
        <v>37.345725242829403</v>
      </c>
    </row>
    <row r="16" spans="1:3">
      <c r="A16" s="4" t="s">
        <v>28</v>
      </c>
      <c r="B16" t="s">
        <v>65</v>
      </c>
      <c r="C16">
        <v>37.482557031560297</v>
      </c>
    </row>
    <row r="17" spans="1:3">
      <c r="A17" s="4" t="s">
        <v>29</v>
      </c>
      <c r="B17" t="s">
        <v>65</v>
      </c>
      <c r="C17">
        <v>37.439868277473401</v>
      </c>
    </row>
    <row r="18" spans="1:3">
      <c r="A18" s="4" t="s">
        <v>30</v>
      </c>
      <c r="B18" t="s">
        <v>65</v>
      </c>
      <c r="C18">
        <v>37.449660250421502</v>
      </c>
    </row>
    <row r="19" spans="1:3">
      <c r="A19" s="4" t="s">
        <v>31</v>
      </c>
      <c r="B19" t="s">
        <v>65</v>
      </c>
      <c r="C19">
        <v>39.072510845102997</v>
      </c>
    </row>
    <row r="20" spans="1:3">
      <c r="A20" s="4" t="s">
        <v>32</v>
      </c>
      <c r="B20" t="s">
        <v>65</v>
      </c>
      <c r="C20">
        <v>38.415205550910301</v>
      </c>
    </row>
    <row r="21" spans="1:3">
      <c r="A21" s="4" t="s">
        <v>33</v>
      </c>
      <c r="B21" t="s">
        <v>65</v>
      </c>
      <c r="C21">
        <v>38.667231486377098</v>
      </c>
    </row>
    <row r="22" spans="1:3">
      <c r="A22" s="4" t="s">
        <v>34</v>
      </c>
      <c r="B22" t="s">
        <v>65</v>
      </c>
      <c r="C22">
        <v>39.474628983805502</v>
      </c>
    </row>
    <row r="23" spans="1:3">
      <c r="A23" s="4" t="s">
        <v>35</v>
      </c>
      <c r="B23" t="s">
        <v>65</v>
      </c>
      <c r="C23">
        <v>38.764201892085701</v>
      </c>
    </row>
    <row r="24" spans="1:3">
      <c r="A24" s="4" t="s">
        <v>36</v>
      </c>
      <c r="B24" t="s">
        <v>65</v>
      </c>
      <c r="C24">
        <v>38.875559069900298</v>
      </c>
    </row>
    <row r="25" spans="1:3">
      <c r="A25" s="4" t="s">
        <v>37</v>
      </c>
      <c r="B25" t="s">
        <v>65</v>
      </c>
      <c r="C25">
        <v>38.114888832117302</v>
      </c>
    </row>
    <row r="26" spans="1:3">
      <c r="A26" s="4" t="s">
        <v>38</v>
      </c>
      <c r="B26" t="s">
        <v>65</v>
      </c>
      <c r="C26">
        <v>38.636687653662598</v>
      </c>
    </row>
    <row r="27" spans="1:3">
      <c r="A27" s="4" t="s">
        <v>39</v>
      </c>
      <c r="B27" t="s">
        <v>65</v>
      </c>
      <c r="C27">
        <v>39.6371118583873</v>
      </c>
    </row>
    <row r="28" spans="1:3">
      <c r="A28" s="4" t="s">
        <v>40</v>
      </c>
      <c r="B28" t="s">
        <v>65</v>
      </c>
      <c r="C28">
        <v>40.140720321052697</v>
      </c>
    </row>
    <row r="29" spans="1:3">
      <c r="A29" s="4" t="s">
        <v>41</v>
      </c>
      <c r="B29" t="s">
        <v>65</v>
      </c>
      <c r="C29">
        <v>38.2072961765274</v>
      </c>
    </row>
    <row r="30" spans="1:3">
      <c r="A30" s="4" t="s">
        <v>42</v>
      </c>
      <c r="B30" t="s">
        <v>65</v>
      </c>
      <c r="C30">
        <v>38.287072285146699</v>
      </c>
    </row>
    <row r="31" spans="1:3">
      <c r="A31" s="4" t="s">
        <v>43</v>
      </c>
      <c r="B31" t="s">
        <v>65</v>
      </c>
      <c r="C31">
        <v>37.2694884308656</v>
      </c>
    </row>
    <row r="32" spans="1:3">
      <c r="A32" s="4" t="s">
        <v>44</v>
      </c>
      <c r="B32" t="s">
        <v>65</v>
      </c>
      <c r="C32">
        <v>35.288846199521501</v>
      </c>
    </row>
    <row r="33" spans="1:3">
      <c r="A33" s="4" t="s">
        <v>45</v>
      </c>
      <c r="B33" t="s">
        <v>65</v>
      </c>
      <c r="C33">
        <v>38.94326496875</v>
      </c>
    </row>
    <row r="34" spans="1:3">
      <c r="A34" s="4" t="s">
        <v>46</v>
      </c>
      <c r="B34" t="s">
        <v>65</v>
      </c>
      <c r="C34">
        <v>38.216961267595401</v>
      </c>
    </row>
    <row r="35" spans="1:3">
      <c r="A35" s="4" t="s">
        <v>47</v>
      </c>
      <c r="B35" t="s">
        <v>65</v>
      </c>
      <c r="C35">
        <v>39.992251807110399</v>
      </c>
    </row>
    <row r="36" spans="1:3">
      <c r="A36" s="4" t="s">
        <v>48</v>
      </c>
      <c r="B36" t="s">
        <v>65</v>
      </c>
      <c r="C36">
        <v>37.844938898155696</v>
      </c>
    </row>
    <row r="37" spans="1:3">
      <c r="A37" s="4" t="s">
        <v>49</v>
      </c>
      <c r="B37" t="s">
        <v>65</v>
      </c>
      <c r="C37">
        <v>35.505035956686299</v>
      </c>
    </row>
    <row r="38" spans="1:3">
      <c r="A38" s="4" t="s">
        <v>50</v>
      </c>
      <c r="B38" t="s">
        <v>65</v>
      </c>
      <c r="C38">
        <v>34.2956454492112</v>
      </c>
    </row>
    <row r="39" spans="1:3">
      <c r="A39" s="4" t="s">
        <v>51</v>
      </c>
      <c r="B39" t="s">
        <v>65</v>
      </c>
      <c r="C39">
        <v>33.352150589042999</v>
      </c>
    </row>
    <row r="40" spans="1:3">
      <c r="A40" s="4" t="s">
        <v>52</v>
      </c>
      <c r="B40" t="s">
        <v>65</v>
      </c>
      <c r="C40">
        <v>50.295035704100499</v>
      </c>
    </row>
    <row r="41" spans="1:3">
      <c r="A41" s="4" t="s">
        <v>53</v>
      </c>
      <c r="B41" t="s">
        <v>65</v>
      </c>
      <c r="C41">
        <v>57.045840816195501</v>
      </c>
    </row>
    <row r="42" spans="1:3">
      <c r="A42" s="4" t="s">
        <v>54</v>
      </c>
      <c r="B42" t="s">
        <v>65</v>
      </c>
      <c r="C42">
        <v>57.794316397076003</v>
      </c>
    </row>
    <row r="43" spans="1:3">
      <c r="A43" s="4" t="s">
        <v>55</v>
      </c>
      <c r="B43" t="s">
        <v>65</v>
      </c>
      <c r="C43">
        <v>56.879331775729398</v>
      </c>
    </row>
    <row r="44" spans="1:3">
      <c r="A44" s="4" t="s">
        <v>56</v>
      </c>
      <c r="B44" t="s">
        <v>65</v>
      </c>
      <c r="C44">
        <v>85.341470749862296</v>
      </c>
    </row>
    <row r="45" spans="1:3">
      <c r="A45" s="4" t="s">
        <v>57</v>
      </c>
      <c r="B45" t="s">
        <v>65</v>
      </c>
      <c r="C45">
        <v>86.040659041972603</v>
      </c>
    </row>
    <row r="46" spans="1:3">
      <c r="A46" s="4" t="s">
        <v>58</v>
      </c>
      <c r="B46" t="s">
        <v>65</v>
      </c>
      <c r="C46">
        <v>86.953038374632897</v>
      </c>
    </row>
    <row r="47" spans="1:3">
      <c r="A47" s="4" t="s">
        <v>59</v>
      </c>
      <c r="B47" t="s">
        <v>65</v>
      </c>
      <c r="C47">
        <v>89.327092303252002</v>
      </c>
    </row>
    <row r="48" spans="1:3">
      <c r="A48" s="4" t="s">
        <v>60</v>
      </c>
      <c r="B48" t="s">
        <v>65</v>
      </c>
      <c r="C48">
        <v>88.9421101191937</v>
      </c>
    </row>
    <row r="49" spans="1:3">
      <c r="A49" s="4" t="s">
        <v>14</v>
      </c>
      <c r="B49" t="s">
        <v>64</v>
      </c>
      <c r="C49">
        <v>52.162339919662301</v>
      </c>
    </row>
    <row r="50" spans="1:3">
      <c r="A50" s="4" t="s">
        <v>15</v>
      </c>
      <c r="B50" t="s">
        <v>64</v>
      </c>
      <c r="C50">
        <v>51.532569177664797</v>
      </c>
    </row>
    <row r="51" spans="1:3">
      <c r="A51" s="4" t="s">
        <v>16</v>
      </c>
      <c r="B51" t="s">
        <v>64</v>
      </c>
      <c r="C51">
        <v>50.750286215414903</v>
      </c>
    </row>
    <row r="52" spans="1:3">
      <c r="A52" s="4" t="s">
        <v>17</v>
      </c>
      <c r="B52" t="s">
        <v>64</v>
      </c>
      <c r="C52">
        <v>52.780177571274002</v>
      </c>
    </row>
    <row r="53" spans="1:3">
      <c r="A53" s="4" t="s">
        <v>18</v>
      </c>
      <c r="B53" t="s">
        <v>64</v>
      </c>
      <c r="C53">
        <v>51.125352190210997</v>
      </c>
    </row>
    <row r="54" spans="1:3">
      <c r="A54" s="4" t="s">
        <v>19</v>
      </c>
      <c r="B54" t="s">
        <v>64</v>
      </c>
      <c r="C54">
        <v>47.770259016219299</v>
      </c>
    </row>
    <row r="55" spans="1:3">
      <c r="A55" s="4" t="s">
        <v>20</v>
      </c>
      <c r="B55" t="s">
        <v>64</v>
      </c>
      <c r="C55">
        <v>47.976722957170402</v>
      </c>
    </row>
    <row r="56" spans="1:3">
      <c r="A56" s="4" t="s">
        <v>21</v>
      </c>
      <c r="B56" t="s">
        <v>64</v>
      </c>
      <c r="C56">
        <v>49.350066326580297</v>
      </c>
    </row>
    <row r="57" spans="1:3">
      <c r="A57" s="4" t="s">
        <v>22</v>
      </c>
      <c r="B57" t="s">
        <v>64</v>
      </c>
      <c r="C57">
        <v>49.996342579012101</v>
      </c>
    </row>
    <row r="58" spans="1:3">
      <c r="A58" s="4" t="s">
        <v>23</v>
      </c>
      <c r="B58" t="s">
        <v>64</v>
      </c>
      <c r="C58">
        <v>50.784196461656698</v>
      </c>
    </row>
    <row r="59" spans="1:3">
      <c r="A59" s="4" t="s">
        <v>24</v>
      </c>
      <c r="B59" t="s">
        <v>64</v>
      </c>
      <c r="C59">
        <v>50.302092514930699</v>
      </c>
    </row>
    <row r="60" spans="1:3">
      <c r="A60" s="4" t="s">
        <v>25</v>
      </c>
      <c r="B60" t="s">
        <v>64</v>
      </c>
      <c r="C60">
        <v>49.9023224472339</v>
      </c>
    </row>
    <row r="61" spans="1:3">
      <c r="A61" s="4" t="s">
        <v>26</v>
      </c>
      <c r="B61" t="s">
        <v>64</v>
      </c>
      <c r="C61">
        <v>50.9130993904148</v>
      </c>
    </row>
    <row r="62" spans="1:3">
      <c r="A62" s="4" t="s">
        <v>27</v>
      </c>
      <c r="B62" t="s">
        <v>64</v>
      </c>
      <c r="C62">
        <v>51.252256731212903</v>
      </c>
    </row>
    <row r="63" spans="1:3">
      <c r="A63" s="4" t="s">
        <v>28</v>
      </c>
      <c r="B63" t="s">
        <v>64</v>
      </c>
      <c r="C63">
        <v>50.077580930468599</v>
      </c>
    </row>
    <row r="64" spans="1:3">
      <c r="A64" s="4" t="s">
        <v>29</v>
      </c>
      <c r="B64" t="s">
        <v>64</v>
      </c>
      <c r="C64">
        <v>51.851888135451297</v>
      </c>
    </row>
    <row r="65" spans="1:3">
      <c r="A65" s="4" t="s">
        <v>30</v>
      </c>
      <c r="B65" t="s">
        <v>64</v>
      </c>
      <c r="C65">
        <v>50.519026506166398</v>
      </c>
    </row>
    <row r="66" spans="1:3">
      <c r="A66" s="4" t="s">
        <v>31</v>
      </c>
      <c r="B66" t="s">
        <v>64</v>
      </c>
      <c r="C66">
        <v>49.119243179370102</v>
      </c>
    </row>
    <row r="67" spans="1:3">
      <c r="A67" s="4" t="s">
        <v>32</v>
      </c>
      <c r="B67" t="s">
        <v>64</v>
      </c>
      <c r="C67">
        <v>49.9055380888746</v>
      </c>
    </row>
    <row r="68" spans="1:3">
      <c r="A68" s="4" t="s">
        <v>33</v>
      </c>
      <c r="B68" t="s">
        <v>64</v>
      </c>
      <c r="C68">
        <v>49.344836945538198</v>
      </c>
    </row>
    <row r="69" spans="1:3">
      <c r="A69" s="4" t="s">
        <v>34</v>
      </c>
      <c r="B69" t="s">
        <v>64</v>
      </c>
      <c r="C69">
        <v>51.865527443711301</v>
      </c>
    </row>
    <row r="70" spans="1:3">
      <c r="A70" s="4" t="s">
        <v>35</v>
      </c>
      <c r="B70" t="s">
        <v>64</v>
      </c>
      <c r="C70">
        <v>51.1840272437531</v>
      </c>
    </row>
    <row r="71" spans="1:3">
      <c r="A71" s="4" t="s">
        <v>36</v>
      </c>
      <c r="B71" t="s">
        <v>64</v>
      </c>
      <c r="C71">
        <v>50.549233599029399</v>
      </c>
    </row>
    <row r="72" spans="1:3">
      <c r="A72" s="4" t="s">
        <v>37</v>
      </c>
      <c r="B72" t="s">
        <v>64</v>
      </c>
      <c r="C72">
        <v>50.291235181976397</v>
      </c>
    </row>
    <row r="73" spans="1:3">
      <c r="A73" s="4" t="s">
        <v>38</v>
      </c>
      <c r="B73" t="s">
        <v>64</v>
      </c>
      <c r="C73">
        <v>50.466711034640802</v>
      </c>
    </row>
    <row r="74" spans="1:3">
      <c r="A74" s="4" t="s">
        <v>39</v>
      </c>
      <c r="B74" t="s">
        <v>64</v>
      </c>
      <c r="C74">
        <v>51.965671829424203</v>
      </c>
    </row>
    <row r="75" spans="1:3">
      <c r="A75" s="4" t="s">
        <v>40</v>
      </c>
      <c r="B75" t="s">
        <v>64</v>
      </c>
      <c r="C75">
        <v>51.977472977964801</v>
      </c>
    </row>
    <row r="76" spans="1:3">
      <c r="A76" s="4" t="s">
        <v>41</v>
      </c>
      <c r="B76" t="s">
        <v>64</v>
      </c>
      <c r="C76">
        <v>50.045879315788</v>
      </c>
    </row>
    <row r="77" spans="1:3">
      <c r="A77" s="4" t="s">
        <v>42</v>
      </c>
      <c r="B77" t="s">
        <v>64</v>
      </c>
      <c r="C77">
        <v>49.536532815906398</v>
      </c>
    </row>
    <row r="78" spans="1:3">
      <c r="A78" s="4" t="s">
        <v>43</v>
      </c>
      <c r="B78" t="s">
        <v>64</v>
      </c>
      <c r="C78">
        <v>48.203534645205998</v>
      </c>
    </row>
    <row r="79" spans="1:3">
      <c r="A79" s="4" t="s">
        <v>44</v>
      </c>
      <c r="B79" t="s">
        <v>64</v>
      </c>
      <c r="C79">
        <v>49.038090449435302</v>
      </c>
    </row>
    <row r="80" spans="1:3">
      <c r="A80" s="4" t="s">
        <v>45</v>
      </c>
      <c r="B80" t="s">
        <v>64</v>
      </c>
      <c r="C80">
        <v>48.536251314695903</v>
      </c>
    </row>
    <row r="81" spans="1:3">
      <c r="A81" s="4" t="s">
        <v>46</v>
      </c>
      <c r="B81" t="s">
        <v>64</v>
      </c>
      <c r="C81">
        <v>48.568630040082901</v>
      </c>
    </row>
    <row r="82" spans="1:3">
      <c r="A82" s="4" t="s">
        <v>47</v>
      </c>
      <c r="B82" t="s">
        <v>64</v>
      </c>
      <c r="C82">
        <v>49.308266837061197</v>
      </c>
    </row>
    <row r="83" spans="1:3">
      <c r="A83" s="4" t="s">
        <v>48</v>
      </c>
      <c r="B83" t="s">
        <v>64</v>
      </c>
      <c r="C83">
        <v>49.526306749104002</v>
      </c>
    </row>
    <row r="84" spans="1:3">
      <c r="A84" s="4" t="s">
        <v>49</v>
      </c>
      <c r="B84" t="s">
        <v>64</v>
      </c>
      <c r="C84">
        <v>48.613861562027601</v>
      </c>
    </row>
    <row r="85" spans="1:3">
      <c r="A85" s="4" t="s">
        <v>50</v>
      </c>
      <c r="B85" t="s">
        <v>64</v>
      </c>
      <c r="C85">
        <v>45.085335305583598</v>
      </c>
    </row>
    <row r="86" spans="1:3">
      <c r="A86" s="4" t="s">
        <v>51</v>
      </c>
      <c r="B86" t="s">
        <v>64</v>
      </c>
      <c r="C86">
        <v>45.374671269228898</v>
      </c>
    </row>
    <row r="87" spans="1:3">
      <c r="A87" s="4" t="s">
        <v>52</v>
      </c>
      <c r="B87" t="s">
        <v>64</v>
      </c>
      <c r="C87">
        <v>48.488747373450302</v>
      </c>
    </row>
    <row r="88" spans="1:3">
      <c r="A88" s="4" t="s">
        <v>53</v>
      </c>
      <c r="B88" t="s">
        <v>64</v>
      </c>
      <c r="C88">
        <v>46.991451593619502</v>
      </c>
    </row>
    <row r="89" spans="1:3">
      <c r="A89" s="4" t="s">
        <v>54</v>
      </c>
      <c r="B89" t="s">
        <v>64</v>
      </c>
      <c r="C89">
        <v>47.690470285463498</v>
      </c>
    </row>
    <row r="90" spans="1:3">
      <c r="A90" s="4" t="s">
        <v>55</v>
      </c>
      <c r="B90" t="s">
        <v>64</v>
      </c>
      <c r="C90">
        <v>47.213507231273198</v>
      </c>
    </row>
    <row r="91" spans="1:3">
      <c r="A91" s="4" t="s">
        <v>56</v>
      </c>
      <c r="B91" t="s">
        <v>64</v>
      </c>
      <c r="C91">
        <v>86.315299319740305</v>
      </c>
    </row>
    <row r="92" spans="1:3">
      <c r="A92" s="4" t="s">
        <v>57</v>
      </c>
      <c r="B92" t="s">
        <v>64</v>
      </c>
      <c r="C92">
        <v>86.980341814425898</v>
      </c>
    </row>
    <row r="93" spans="1:3">
      <c r="A93" s="4" t="s">
        <v>58</v>
      </c>
      <c r="B93" t="s">
        <v>64</v>
      </c>
      <c r="C93">
        <v>87.646204815472302</v>
      </c>
    </row>
    <row r="94" spans="1:3">
      <c r="A94" s="4" t="s">
        <v>59</v>
      </c>
      <c r="B94" t="s">
        <v>64</v>
      </c>
      <c r="C94">
        <v>88.811100648216595</v>
      </c>
    </row>
    <row r="95" spans="1:3">
      <c r="A95" s="4" t="s">
        <v>60</v>
      </c>
      <c r="B95" t="s">
        <v>64</v>
      </c>
      <c r="C95">
        <v>88.969707827960093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129337-b77a-451d-bb3d-5f822f185b9a">
      <Terms xmlns="http://schemas.microsoft.com/office/infopath/2007/PartnerControls"/>
    </lcf76f155ced4ddcb4097134ff3c332f>
    <TaxCatchAll xmlns="4f75697d-e3c1-4b05-a3f1-e783425590d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C40DE5CD71C144BFA28B37E66F3675" ma:contentTypeVersion="18" ma:contentTypeDescription="Create a new document." ma:contentTypeScope="" ma:versionID="2a9de5671a1658bf9242fb5cbcb6be5a">
  <xsd:schema xmlns:xsd="http://www.w3.org/2001/XMLSchema" xmlns:xs="http://www.w3.org/2001/XMLSchema" xmlns:p="http://schemas.microsoft.com/office/2006/metadata/properties" xmlns:ns2="c8129337-b77a-451d-bb3d-5f822f185b9a" xmlns:ns3="4f75697d-e3c1-4b05-a3f1-e783425590da" targetNamespace="http://schemas.microsoft.com/office/2006/metadata/properties" ma:root="true" ma:fieldsID="3c9c28878f7f12f04d37b239619bf970" ns2:_="" ns3:_="">
    <xsd:import namespace="c8129337-b77a-451d-bb3d-5f822f185b9a"/>
    <xsd:import namespace="4f75697d-e3c1-4b05-a3f1-e783425590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129337-b77a-451d-bb3d-5f822f185b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6d41a5f-cbfb-4323-98af-06a6a0c01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5697d-e3c1-4b05-a3f1-e783425590d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5efa123-4908-4c6b-b886-291d0ab835c9}" ma:internalName="TaxCatchAll" ma:showField="CatchAllData" ma:web="4f75697d-e3c1-4b05-a3f1-e783425590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7D0851-DA9B-4EB6-AC43-ECBBC9A94511}"/>
</file>

<file path=customXml/itemProps2.xml><?xml version="1.0" encoding="utf-8"?>
<ds:datastoreItem xmlns:ds="http://schemas.openxmlformats.org/officeDocument/2006/customXml" ds:itemID="{C9ECEA64-EB31-4A24-95B3-B29767AD5882}"/>
</file>

<file path=customXml/itemProps3.xml><?xml version="1.0" encoding="utf-8"?>
<ds:datastoreItem xmlns:ds="http://schemas.openxmlformats.org/officeDocument/2006/customXml" ds:itemID="{A9EB741D-7C65-49F7-9FF0-9246CC23B1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wanlingl</dc:creator>
  <cp:keywords/>
  <dc:description/>
  <cp:lastModifiedBy>Luo, Wanling</cp:lastModifiedBy>
  <cp:revision/>
  <dcterms:created xsi:type="dcterms:W3CDTF">2026-02-03T23:40:53Z</dcterms:created>
  <dcterms:modified xsi:type="dcterms:W3CDTF">2026-02-03T23:44:00Z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0x0101000DC40DE5CD71C144BFA28B37E66F3675</vt:lpwstr>
  </property>
</Properties>
</file>